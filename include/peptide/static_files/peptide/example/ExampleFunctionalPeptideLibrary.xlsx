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1" firstSheet="0" showHorizontalScroll="true" showSheetTabs="true" showVerticalScroll="true" tabRatio="500" windowHeight="8192" windowWidth="16384" xWindow="0" yWindow="0"/>
  </bookViews>
  <sheets>
    <sheet name="Sheet1" sheetId="1" state="visible" r:id="rId2"/>
    <sheet name="for_blast" sheetId="2" state="visible" r:id="rId3"/>
  </sheets>
  <definedNames>
    <definedName function="false" hidden="true" localSheetId="0" name="_xlnm._FilterDatabase" vbProcedure="false">Sheet1!$A$1:$N$69</definedName>
    <definedName function="false" hidden="false" localSheetId="0" name="_xlnm._FilterDatabase" vbProcedure="false">Sheet1!$A$1:$N$69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<sst xmlns="http://schemas.openxmlformats.org/spreadsheetml/2006/main" count="767" uniqueCount="332">
  <si>
    <t>Dave's List</t>
  </si>
  <si>
    <t>Peptide name/Ref Number</t>
  </si>
  <si>
    <t>Protein of origin</t>
  </si>
  <si>
    <t>Species</t>
  </si>
  <si>
    <t>Sequence</t>
  </si>
  <si>
    <t>Uniprot ID</t>
  </si>
  <si>
    <t>Position Start (counting signal sequence)</t>
  </si>
  <si>
    <t>Position End (counting signal sequence)</t>
  </si>
  <si>
    <t>Position (not counting signal seq)</t>
  </si>
  <si>
    <t>Length</t>
  </si>
  <si>
    <t>Modifications?</t>
  </si>
  <si>
    <t>Function</t>
  </si>
  <si>
    <t>Reference</t>
  </si>
  <si>
    <t>β-casein (200-226)</t>
  </si>
  <si>
    <t>β-casein</t>
  </si>
  <si>
    <t>Human</t>
  </si>
  <si>
    <t>QELLLNPTHQYPVTQPLAPVHNPISV</t>
  </si>
  <si>
    <t>184-210</t>
  </si>
  <si>
    <t>antimicrobial </t>
  </si>
  <si>
    <t>{Azuma, 1989 #3814}</t>
  </si>
  <si>
    <t>β-casein (120-132)</t>
  </si>
  <si>
    <t>QPTIPFFDPQIPK</t>
  </si>
  <si>
    <t>105-117</t>
  </si>
  <si>
    <t>immunomodulatory</t>
  </si>
  <si>
    <t>{Hayes, 2007 #3815}</t>
  </si>
  <si>
    <t>Kaliocin-1</t>
  </si>
  <si>
    <t>Lactoferrin</t>
  </si>
  <si>
    <t>FFSASCVPGADKGQFPNLCRLCAGTGENKCA</t>
  </si>
  <si>
    <t>&gt;sp|P02788|TRFL_HUMAN Lactotransferrin</t>
  </si>
  <si>
    <t>152-182</t>
  </si>
  <si>
    <t>antimicrobial </t>
  </si>
  <si>
    <t>{Viejo-Diaz, 2003 #30}</t>
  </si>
  <si>
    <t>Lactoferrampin B</t>
  </si>
  <si>
    <t>Bovine</t>
  </si>
  <si>
    <t>WKLLSKAQEKFGKNKSR</t>
  </si>
  <si>
    <t>&gt;sp|P24627|TRFL_BOVIN Lactotransferrin</t>
  </si>
  <si>
    <t>268-284</t>
  </si>
  <si>
    <t>antibacterial/antifugal</t>
  </si>
  <si>
    <t>{van der Kraan, 2004 #26}</t>
  </si>
  <si>
    <t>Lactoferricin B</t>
  </si>
  <si>
    <t>FKCRRWQWRMKKLGAPSITCVRRAF</t>
  </si>
  <si>
    <t>17-41</t>
  </si>
  <si>
    <t>{Bellamy, 1992 #32}</t>
  </si>
  <si>
    <t>Lactoferricin H</t>
  </si>
  <si>
    <t>GRRRSVQWCAVSQPEATKCFQWQRNMRKVRGPPVSCIKRDSPIQCIQA</t>
  </si>
  <si>
    <t>1-48</t>
  </si>
  <si>
    <t>antibacterial/antiviral/antifungal</t>
  </si>
  <si>
    <t>Lactoferroxin-A</t>
  </si>
  <si>
    <t>YLGSGY</t>
  </si>
  <si>
    <t>319-324</t>
  </si>
  <si>
    <t>opioid antagonist</t>
  </si>
  <si>
    <t>{Tani, 1990 #31}</t>
  </si>
  <si>
    <t>Lactoferroxin-B</t>
  </si>
  <si>
    <t>RYYGY</t>
  </si>
  <si>
    <t>324-528</t>
  </si>
  <si>
    <t>Lactoferroxin-C</t>
  </si>
  <si>
    <t>KYLGPQY</t>
  </si>
  <si>
    <t>661-667</t>
  </si>
  <si>
    <t>α-Lactorphin</t>
  </si>
  <si>
    <t>α-Lactalbumin</t>
  </si>
  <si>
    <t>YGLF</t>
  </si>
  <si>
    <t>&gt;sp|P00709|LALBA_HUMAN Alpha-lactalbumin</t>
  </si>
  <si>
    <t>50-53</t>
  </si>
  <si>
    <t>{Pihlanto-Leppälä, 2000 #39}</t>
  </si>
  <si>
    <t>Alpha CN Exorphin</t>
  </si>
  <si>
    <t>α-s1 casein</t>
  </si>
  <si>
    <t>RYLGYLE</t>
  </si>
  <si>
    <t>&gt;sp|P02662|CASA1_BOVIN Alpha-S1-casein</t>
  </si>
  <si>
    <t>90-96</t>
  </si>
  <si>
    <t>opioid agonist</t>
  </si>
  <si>
    <t>{M. Gobbetti, 2002 #6}</t>
  </si>
  <si>
    <t>Alpha-S1-Immunocasokinin-6</t>
  </si>
  <si>
    <t>TTMPLW</t>
  </si>
  <si>
    <t>194-199</t>
  </si>
  <si>
    <t>antihypertensive/immunomodulating</t>
  </si>
  <si>
    <t>{Pihlanto-Leppälä, 1998 #4}</t>
  </si>
  <si>
    <t>Caseicin A</t>
  </si>
  <si>
    <t>LRFFVAPF</t>
  </si>
  <si>
    <t>21-29</t>
  </si>
  <si>
    <t>antimicrobial</t>
  </si>
  <si>
    <t>{M. Hayes, 2006 #16}</t>
  </si>
  <si>
    <t>Caseicin B</t>
  </si>
  <si>
    <t>EVFGKEKVN</t>
  </si>
  <si>
    <t>30-38</t>
  </si>
  <si>
    <t>Caseicin C</t>
  </si>
  <si>
    <t>SDIPNPIGSENSEK</t>
  </si>
  <si>
    <t>180-193</t>
  </si>
  <si>
    <t>Isracidin</t>
  </si>
  <si>
    <t>RPKHPIKHQGLPQEVLNENLLRF</t>
  </si>
  <si>
    <t>{Regelson, 1996 #5}</t>
  </si>
  <si>
    <t>α-s1 Casein (114-124)</t>
  </si>
  <si>
    <t>LRLKKYKVPQL</t>
  </si>
  <si>
    <t>99-109</t>
  </si>
  <si>
    <t>{McCann, 2006 #19}</t>
  </si>
  <si>
    <t>α-s1 Casein (119-124)</t>
  </si>
  <si>
    <t>YKVPQL</t>
  </si>
  <si>
    <t>104-109</t>
  </si>
  <si>
    <t>antihypertensive</t>
  </si>
  <si>
    <t>{Maeno, 1996 #8}</t>
  </si>
  <si>
    <t>α-s1 Casein (157-162)</t>
  </si>
  <si>
    <t>LAYFYP</t>
  </si>
  <si>
    <t>142-147</t>
  </si>
  <si>
    <t>α-s1 Casein (172-179)</t>
  </si>
  <si>
    <t>DAYPSGAW</t>
  </si>
  <si>
    <t>157-164</t>
  </si>
  <si>
    <t>α-s1 Casein (73-76)</t>
  </si>
  <si>
    <t>Ovine</t>
  </si>
  <si>
    <t>KQMK</t>
  </si>
  <si>
    <t>&gt;sp|P04653|CASA1_SHEEP Alpha-S1-casein</t>
  </si>
  <si>
    <t>58-61</t>
  </si>
  <si>
    <t>{Gomez-Ruiz, 2002 #3}</t>
  </si>
  <si>
    <t>α-s1 Casein (95-105)</t>
  </si>
  <si>
    <t>HIQKEDVPSER</t>
  </si>
  <si>
    <t>80-95</t>
  </si>
  <si>
    <t>none</t>
  </si>
  <si>
    <t>ACE-inhibitory</t>
  </si>
  <si>
    <t>{Zhen Wu, 2012 #2}</t>
  </si>
  <si>
    <t>α-s1 casokinin 5</t>
  </si>
  <si>
    <t>FFVAP</t>
  </si>
  <si>
    <t>23-27</t>
  </si>
  <si>
    <t>{S. Maruyama, 1985 #25}</t>
  </si>
  <si>
    <t>Casocidin-I</t>
  </si>
  <si>
    <t>α-s2 casein</t>
  </si>
  <si>
    <t>KTKLTEEEKNRLNFLKKISQRYQKFALPQYLKTVYQHQK</t>
  </si>
  <si>
    <t>&gt;sp|P02663|CASA2_BOVIN Alpha-S2-casein</t>
  </si>
  <si>
    <t>150-188</t>
  </si>
  <si>
    <t>Kills staphylococcus carnosus and E. coli</t>
  </si>
  <si>
    <t>{Zucht, 1995 #10}</t>
  </si>
  <si>
    <t>Cr1</t>
  </si>
  <si>
    <t>KTVYQHQKAMKPWIQPKTKVIPYVRYL</t>
  </si>
  <si>
    <t>181-207</t>
  </si>
  <si>
    <t>{McCann, 2005 #20}</t>
  </si>
  <si>
    <t>Cr3</t>
  </si>
  <si>
    <t>LKTVYQHQKAMKPWIQPKTKVIPYVRYL</t>
  </si>
  <si>
    <t>180-207</t>
  </si>
  <si>
    <t>Cr4</t>
  </si>
  <si>
    <t>ALPQYLKTVYQHQKAMKPWIQPKTKVIPYVRYL</t>
  </si>
  <si>
    <t>175-207</t>
  </si>
  <si>
    <t>Cr5/Cr6</t>
  </si>
  <si>
    <t>LKKISQRYQKFALPQYLKTVYQHQKAMKPWIQPKTKVIPY</t>
  </si>
  <si>
    <t>164-207</t>
  </si>
  <si>
    <t>Cr7</t>
  </si>
  <si>
    <t>QKFALPQYLKTVYQHQKAMKPWIQPKTKVIPYVRYL</t>
  </si>
  <si>
    <t>172-207</t>
  </si>
  <si>
    <t>α-s2 Casein (179-184)</t>
  </si>
  <si>
    <t>LKKISQ</t>
  </si>
  <si>
    <t>&gt;sp|P04654|CASA2_SHEEP Alpha-S2-casein</t>
  </si>
  <si>
    <t>164-169</t>
  </si>
  <si>
    <t>α-s2 Casein (179-194)</t>
  </si>
  <si>
    <t>LKKISQRYQKFALPQY</t>
  </si>
  <si>
    <t>164-179</t>
  </si>
  <si>
    <t>{Isidra Recio, 1999 #9}</t>
  </si>
  <si>
    <t>α-s2 Casein (189-197)</t>
  </si>
  <si>
    <t>FALPQYLK</t>
  </si>
  <si>
    <t>174-182</t>
  </si>
  <si>
    <t>{Tauzin, 2002 #7}</t>
  </si>
  <si>
    <t>α-s2 Casein (198-222)</t>
  </si>
  <si>
    <t>VYQHQKAMKPWIQPKTKVIPYVRYL</t>
  </si>
  <si>
    <t>183-207</t>
  </si>
  <si>
    <t>α-s2 Casein (204-212)</t>
  </si>
  <si>
    <t>AMKPWIQPK</t>
  </si>
  <si>
    <t>189-197</t>
  </si>
  <si>
    <t>α-s2 Casein (213-217)</t>
  </si>
  <si>
    <t>TKVIP</t>
  </si>
  <si>
    <t>198-202</t>
  </si>
  <si>
    <t>Beta-casokinin-10</t>
  </si>
  <si>
    <t>YQQPVLGPVR</t>
  </si>
  <si>
    <t>&gt;sp|P02666|CASB_BOVIN Beta-casein</t>
  </si>
  <si>
    <t>193-202</t>
  </si>
  <si>
    <t>Beta-casokinin-7</t>
  </si>
  <si>
    <t>AVPYPQR</t>
  </si>
  <si>
    <t>177-183</t>
  </si>
  <si>
    <t>yellow/red</t>
  </si>
  <si>
    <t>Beta-casomorphin-11</t>
  </si>
  <si>
    <t>YPFPGPIPNSL</t>
  </si>
  <si>
    <t>60-70</t>
  </si>
  <si>
    <t>Beta-casomorphin-5</t>
  </si>
  <si>
    <t>YPFPG</t>
  </si>
  <si>
    <t>60-64</t>
  </si>
  <si>
    <t>Beta-casomorphin-7</t>
  </si>
  <si>
    <t>YPFPGPI</t>
  </si>
  <si>
    <t>60-66</t>
  </si>
  <si>
    <t>Casecidin-15</t>
  </si>
  <si>
    <t>YQEPVLGPVRGPFPI</t>
  </si>
  <si>
    <t>193-207</t>
  </si>
  <si>
    <t>{Birkemo, 2009 #23}</t>
  </si>
  <si>
    <t>Casecidin-17</t>
  </si>
  <si>
    <t>YQEPVLGPVRGPFPIIV</t>
  </si>
  <si>
    <t>193-209</t>
  </si>
  <si>
    <t>{Sandré, 2001 #12}</t>
  </si>
  <si>
    <t>Casohypotensin</t>
  </si>
  <si>
    <t>YPVEPFTE</t>
  </si>
  <si>
    <t>114-121</t>
  </si>
  <si>
    <t>angiotensin inhibitor/bradykinin potentiator</t>
  </si>
  <si>
    <t>{Elen A. Perpetuo, 2003 #18}</t>
  </si>
  <si>
    <t>Casoparan</t>
  </si>
  <si>
    <t>INKKI</t>
  </si>
  <si>
    <t>26-30</t>
  </si>
  <si>
    <t>Phagocytosis stimulating/bradykinin potentiator</t>
  </si>
  <si>
    <t>{Ivo Lebrun, 2004 #17}</t>
  </si>
  <si>
    <t>β-casein (110-115)</t>
  </si>
  <si>
    <t>VPKVKE</t>
  </si>
  <si>
    <t>&gt;sp|P11839|CASB_SHEEP Beta-casein</t>
  </si>
  <si>
    <t>80-85</t>
  </si>
  <si>
    <t>β-casein (110-116)</t>
  </si>
  <si>
    <t>VPKVKET</t>
  </si>
  <si>
    <t>80-86</t>
  </si>
  <si>
    <t>β-casein (123-128)</t>
  </si>
  <si>
    <t>EMPFPK</t>
  </si>
  <si>
    <t>108-113</t>
  </si>
  <si>
    <t>β-casein (214-224)</t>
  </si>
  <si>
    <t>GPVRGPFPIIV</t>
  </si>
  <si>
    <t>199-209</t>
  </si>
  <si>
    <t>{Nakamura, 1995 #11}</t>
  </si>
  <si>
    <t>β-casein (62-66)</t>
  </si>
  <si>
    <t>DKIHP</t>
  </si>
  <si>
    <t>47-51</t>
  </si>
  <si>
    <t>β-casein (89-91)</t>
  </si>
  <si>
    <t>IPP</t>
  </si>
  <si>
    <t>74-76</t>
  </si>
  <si>
    <t>β-casein (99-101)</t>
  </si>
  <si>
    <t>VPP</t>
  </si>
  <si>
    <t>84-86</t>
  </si>
  <si>
    <t>β-casein caseinophosphopeptide</t>
  </si>
  <si>
    <t>RELEELNVPGEIVESLSSSEESIT</t>
  </si>
  <si>
    <t>1-24</t>
  </si>
  <si>
    <t>increases calcium bioavailability</t>
  </si>
  <si>
    <t>β-Lactoglobulin (118-119)</t>
  </si>
  <si>
    <t>β-Lactoglobulin</t>
  </si>
  <si>
    <t>YL</t>
  </si>
  <si>
    <t>&gt;sp|P02754|LACB_BOVIN Beta-lactoglobulin</t>
  </si>
  <si>
    <t>102-103</t>
  </si>
  <si>
    <t>{Mullally, 1996 #37}</t>
  </si>
  <si>
    <t>β-Lactoglobulin (120-121)</t>
  </si>
  <si>
    <t>LF</t>
  </si>
  <si>
    <t>104-105</t>
  </si>
  <si>
    <t>β-Lactoglobulin (158-164)</t>
  </si>
  <si>
    <t>ALPMHIR</t>
  </si>
  <si>
    <t>142-148</t>
  </si>
  <si>
    <t>{Mullally, 1997 #33}</t>
  </si>
  <si>
    <t>β-Lactoglobulin (87-91)</t>
  </si>
  <si>
    <t>IIEAK</t>
  </si>
  <si>
    <t>71-75</t>
  </si>
  <si>
    <t>Hypocholesterolemic</t>
  </si>
  <si>
    <t>{Nagaoka, 2001 #36}</t>
  </si>
  <si>
    <t>β-Lactorphin</t>
  </si>
  <si>
    <t>YLLF</t>
  </si>
  <si>
    <t>102-105</t>
  </si>
  <si>
    <t>{Meisel, 1997 #35}</t>
  </si>
  <si>
    <t>β-Lactotensin</t>
  </si>
  <si>
    <t>HIRL</t>
  </si>
  <si>
    <t>146-149</t>
  </si>
  <si>
    <t>Casoplatelin</t>
  </si>
  <si>
    <t>κ-casein</t>
  </si>
  <si>
    <t>MAIPPKKNQDK</t>
  </si>
  <si>
    <t>&gt;sp|P02668|CASK_BOVIN Kappa-casein</t>
  </si>
  <si>
    <t>106-116</t>
  </si>
  <si>
    <t>antithrombitic</t>
  </si>
  <si>
    <t>{Jollès, 1986 #15}</t>
  </si>
  <si>
    <t>Casoxin-6</t>
  </si>
  <si>
    <t>SRYPSY</t>
  </si>
  <si>
    <t>33-38</t>
  </si>
  <si>
    <t>{Chiba, 1989 #14}</t>
  </si>
  <si>
    <t>Casoxin-A</t>
  </si>
  <si>
    <t>YPSYGLN</t>
  </si>
  <si>
    <t>35-41</t>
  </si>
  <si>
    <t>smooth muscles/opioid antagonist</t>
  </si>
  <si>
    <t>Casoxin-B</t>
  </si>
  <si>
    <t>YPYY</t>
  </si>
  <si>
    <t>Casoxin-C</t>
  </si>
  <si>
    <t>YIPIQYVLSR</t>
  </si>
  <si>
    <t>25-34</t>
  </si>
  <si>
    <t>Kappacin</t>
  </si>
  <si>
    <t>MAIPPKKNQDKTEIPTINTIASGEPTSTPTTEAVESTVATLEDSPEVIESPPEINTVQVTSTAV</t>
  </si>
  <si>
    <t>106-169</t>
  </si>
  <si>
    <t>{Malkoski, 2001 #28}</t>
  </si>
  <si>
    <t>κ-casecidin</t>
  </si>
  <si>
    <t>FFSDK</t>
  </si>
  <si>
    <t>16-21</t>
  </si>
  <si>
    <t>cytotoxic/antimicrobial</t>
  </si>
  <si>
    <t>{Matin, 2002 #27}</t>
  </si>
  <si>
    <t>κ-casein (122-126)</t>
  </si>
  <si>
    <t>PHLSF</t>
  </si>
  <si>
    <t>101-105</t>
  </si>
  <si>
    <t>Phagocytosis stimulating/chymosin inhibitor</t>
  </si>
  <si>
    <t>{Anne-Marie Fiat, 1993 #13}</t>
  </si>
  <si>
    <t>κ-casein (129-131)</t>
  </si>
  <si>
    <t>108-110</t>
  </si>
  <si>
    <t>κ-casein (63-117)</t>
  </si>
  <si>
    <t>YQRRPAIAINNPYVPRTYYANPAVVRPHAQIPQRQYLPNSHPPTVVRRPNLHPSF</t>
  </si>
  <si>
    <t>&gt;sp|P07498|CASK_HUMAN Kappa-casein</t>
  </si>
  <si>
    <t>43-97</t>
  </si>
  <si>
    <t>Antimicrobial</t>
  </si>
  <si>
    <t>{Liepke, 2001 #38}</t>
  </si>
  <si>
    <t>Peptide_name/Ref_Number</t>
  </si>
  <si>
    <t>Alpha_CN_Exorphin</t>
  </si>
  <si>
    <t>Caseicin_A</t>
  </si>
  <si>
    <t>Caseicin_B</t>
  </si>
  <si>
    <t>Caseicin_C</t>
  </si>
  <si>
    <t>Lactoferrampin_B</t>
  </si>
  <si>
    <t>Lactoferricin_B</t>
  </si>
  <si>
    <t>Lactoferricin_H</t>
  </si>
  <si>
    <t>α-s1_Casein_(114-124)</t>
  </si>
  <si>
    <t>α-s1_Casein_(119-124)</t>
  </si>
  <si>
    <t>α-s1_Casein_(157-162)</t>
  </si>
  <si>
    <t>α-s1_Casein_(172-179)</t>
  </si>
  <si>
    <t>α-s1_Casein_(73-76)</t>
  </si>
  <si>
    <t>α-s1_Casein_(95-105)</t>
  </si>
  <si>
    <t>α-s1_casokinin_5</t>
  </si>
  <si>
    <t>α-s2_Casein_(179-184)</t>
  </si>
  <si>
    <t>α-s2_Casein_(179-194)</t>
  </si>
  <si>
    <t>α-s2_Casein_(189-197)</t>
  </si>
  <si>
    <t>α-s2_Casein_(198-222)</t>
  </si>
  <si>
    <t>α-s2_Casein_(204-212)</t>
  </si>
  <si>
    <t>α-s2_Casein_(213-217)</t>
  </si>
  <si>
    <t>β-casein_(110-115)</t>
  </si>
  <si>
    <t>β-casein_(110-116)</t>
  </si>
  <si>
    <t>β-casein_(120-132)</t>
  </si>
  <si>
    <t>β-casein_(123-128)</t>
  </si>
  <si>
    <t>β-casein_(200-226)</t>
  </si>
  <si>
    <t>β-casein_(214-224)</t>
  </si>
  <si>
    <t>β-casein_(62-66)</t>
  </si>
  <si>
    <t>β-casein_(89-91)</t>
  </si>
  <si>
    <t>β-casein_(99-101)</t>
  </si>
  <si>
    <t>β-casein_caseinophosphopeptide</t>
  </si>
  <si>
    <t>β-Lactoglobulin_(118-119)</t>
  </si>
  <si>
    <t>β-Lactoglobulin_(120-121)</t>
  </si>
  <si>
    <t>β-Lactoglobulin_(158-164)</t>
  </si>
  <si>
    <t>β-Lactoglobulin_(87-91)</t>
  </si>
  <si>
    <t>κ-casein_(122-126)</t>
  </si>
  <si>
    <t>κ-casein_(129-131)</t>
  </si>
  <si>
    <t>κ-casein_(63-117)</t>
  </si>
</sst>
</file>

<file path=xl/styles.xml><?xml version="1.0" encoding="utf-8"?>
<styleSheet xmlns="http://schemas.openxmlformats.org/spreadsheetml/2006/main">
  <numFmts count="4">
    <numFmt formatCode="GENERAL" numFmtId="164"/>
    <numFmt formatCode="@" numFmtId="165"/>
    <numFmt formatCode="MMM\-YY" numFmtId="166"/>
    <numFmt formatCode="&quot;1-23&quot;" numFmtId="167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00CCFF"/>
        <bgColor rgb="FF33CCCC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4" xfId="0">
      <alignment horizontal="general" indent="0" shrinkToFit="false" textRotation="0" vertical="bottom" wrapText="tru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5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6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2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0" numFmtId="167" xfId="0">
      <alignment horizontal="left" indent="0" shrinkToFit="false" textRotation="0" vertical="bottom" wrapText="false"/>
      <protection hidden="false" locked="true"/>
    </xf>
    <xf applyAlignment="false" applyBorder="false" applyFont="true" applyProtection="false" borderId="0" fillId="3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4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5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4" fontId="4" numFmtId="164" xfId="0">
      <alignment horizontal="general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69"/>
  <sheetViews>
    <sheetView colorId="64" defaultGridColor="true" rightToLeft="false" showFormulas="false" showGridLines="true" showOutlineSymbols="true" showRowColHeaders="true" showZeros="true" tabSelected="false" topLeftCell="B1" view="normal" windowProtection="false" workbookViewId="0" zoomScale="100" zoomScaleNormal="100" zoomScalePageLayoutView="100">
      <selection activeCell="B1" activeCellId="0" pane="topLeft" sqref="B1"/>
    </sheetView>
  </sheetViews>
  <sheetFormatPr defaultRowHeight="15"/>
  <cols>
    <col collapsed="false" hidden="true" max="1" min="1" style="0" width="0"/>
    <col collapsed="false" hidden="false" max="2" min="2" style="0" width="28"/>
    <col collapsed="false" hidden="false" max="3" min="3" style="0" width="17.162962962963"/>
    <col collapsed="false" hidden="false" max="4" min="4" style="0" width="10.0037037037037"/>
    <col collapsed="false" hidden="true" max="5" min="5" style="0" width="0"/>
    <col collapsed="false" hidden="false" max="6" min="6" style="0" width="66.1666666666667"/>
    <col collapsed="false" hidden="true" max="7" min="7" style="0" width="0"/>
    <col collapsed="false" hidden="false" max="10" min="8" style="0" width="13.8296296296296"/>
    <col collapsed="false" hidden="false" max="11" min="11" style="0" width="7.15925925925926"/>
    <col collapsed="false" hidden="true" max="12" min="12" style="0" width="0"/>
    <col collapsed="false" hidden="false" max="13" min="13" style="0" width="44.837037037037"/>
    <col collapsed="false" hidden="false" max="14" min="14" style="0" width="24.662962962963"/>
    <col collapsed="false" hidden="false" max="1025" min="15" style="0" width="10.8333333333333"/>
  </cols>
  <sheetData>
    <row collapsed="false" customFormat="true" customHeight="true" hidden="false" ht="50" outlineLevel="0" r="1" s="1">
      <c r="A1" s="1" t="s">
        <v>0</v>
      </c>
      <c r="B1" s="1" t="s">
        <v>1</v>
      </c>
      <c r="C1" s="1" t="s">
        <v>2</v>
      </c>
      <c r="D1" s="1" t="s">
        <v>3</v>
      </c>
      <c r="E1" s="1" t="n">
        <f aca="false">CONCATENATE(G1, " ",B1)</f>
        <v>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collapsed="false" customFormat="false" customHeight="true" hidden="false" ht="21" outlineLevel="0" r="2">
      <c r="B2" s="2" t="s">
        <v>13</v>
      </c>
      <c r="C2" s="2" t="s">
        <v>14</v>
      </c>
      <c r="D2" s="2" t="s">
        <v>15</v>
      </c>
      <c r="F2" s="1" t="s">
        <v>16</v>
      </c>
      <c r="H2" s="1" t="n">
        <v>200</v>
      </c>
      <c r="I2" s="1" t="n">
        <v>226</v>
      </c>
      <c r="J2" s="1" t="s">
        <v>17</v>
      </c>
      <c r="K2" s="2" t="n">
        <f aca="false">LEN(F2)</f>
        <v>26</v>
      </c>
      <c r="M2" s="1" t="s">
        <v>18</v>
      </c>
      <c r="N2" s="1" t="s">
        <v>19</v>
      </c>
    </row>
    <row collapsed="false" customFormat="false" customHeight="true" hidden="false" ht="23.25" outlineLevel="0" r="3">
      <c r="B3" s="2" t="s">
        <v>20</v>
      </c>
      <c r="C3" s="2" t="s">
        <v>14</v>
      </c>
      <c r="D3" s="2" t="s">
        <v>15</v>
      </c>
      <c r="F3" s="1" t="s">
        <v>21</v>
      </c>
      <c r="H3" s="1" t="n">
        <v>120</v>
      </c>
      <c r="I3" s="1" t="n">
        <v>132</v>
      </c>
      <c r="J3" s="1" t="s">
        <v>22</v>
      </c>
      <c r="K3" s="2" t="n">
        <f aca="false">LEN(F3)</f>
        <v>13</v>
      </c>
      <c r="M3" s="1" t="s">
        <v>23</v>
      </c>
      <c r="N3" s="1" t="s">
        <v>24</v>
      </c>
    </row>
    <row collapsed="false" customFormat="false" customHeight="false" hidden="false" ht="15" outlineLevel="0" r="4">
      <c r="B4" s="2" t="s">
        <v>25</v>
      </c>
      <c r="C4" s="2" t="s">
        <v>26</v>
      </c>
      <c r="D4" s="2" t="s">
        <v>15</v>
      </c>
      <c r="E4" s="2" t="n">
        <f aca="false">CONCATENATE(G4)</f>
        <v>0</v>
      </c>
      <c r="F4" s="2" t="s">
        <v>27</v>
      </c>
      <c r="G4" s="2" t="s">
        <v>28</v>
      </c>
      <c r="H4" s="2" t="n">
        <v>171</v>
      </c>
      <c r="I4" s="2" t="n">
        <v>201</v>
      </c>
      <c r="J4" s="2" t="s">
        <v>29</v>
      </c>
      <c r="K4" s="2" t="n">
        <f aca="false">LEN(F4)</f>
        <v>31</v>
      </c>
      <c r="M4" s="2" t="s">
        <v>30</v>
      </c>
      <c r="N4" s="2" t="s">
        <v>31</v>
      </c>
    </row>
    <row collapsed="false" customFormat="false" customHeight="false" hidden="false" ht="15" outlineLevel="0" r="5">
      <c r="B5" s="2" t="s">
        <v>32</v>
      </c>
      <c r="C5" s="2" t="s">
        <v>26</v>
      </c>
      <c r="D5" s="2" t="s">
        <v>33</v>
      </c>
      <c r="E5" s="2" t="n">
        <f aca="false">CONCATENATE(G5)</f>
        <v>0</v>
      </c>
      <c r="F5" s="2" t="s">
        <v>34</v>
      </c>
      <c r="G5" s="2" t="s">
        <v>35</v>
      </c>
      <c r="H5" s="2" t="n">
        <v>287</v>
      </c>
      <c r="I5" s="2" t="n">
        <v>303</v>
      </c>
      <c r="J5" s="2" t="s">
        <v>36</v>
      </c>
      <c r="K5" s="2" t="n">
        <f aca="false">LEN(F5)</f>
        <v>17</v>
      </c>
      <c r="M5" s="2" t="s">
        <v>37</v>
      </c>
      <c r="N5" s="2" t="s">
        <v>38</v>
      </c>
    </row>
    <row collapsed="false" customFormat="false" customHeight="false" hidden="false" ht="15" outlineLevel="0" r="6">
      <c r="B6" s="2" t="s">
        <v>39</v>
      </c>
      <c r="C6" s="2" t="s">
        <v>26</v>
      </c>
      <c r="D6" s="2" t="s">
        <v>33</v>
      </c>
      <c r="E6" s="2" t="n">
        <f aca="false">CONCATENATE(G6)</f>
        <v>0</v>
      </c>
      <c r="F6" s="2" t="s">
        <v>40</v>
      </c>
      <c r="G6" s="2" t="s">
        <v>35</v>
      </c>
      <c r="H6" s="2" t="n">
        <v>36</v>
      </c>
      <c r="I6" s="2" t="n">
        <v>60</v>
      </c>
      <c r="J6" s="2" t="s">
        <v>41</v>
      </c>
      <c r="K6" s="2" t="n">
        <f aca="false">LEN(F6)</f>
        <v>25</v>
      </c>
      <c r="M6" s="2" t="s">
        <v>30</v>
      </c>
      <c r="N6" s="2" t="s">
        <v>42</v>
      </c>
    </row>
    <row collapsed="false" customFormat="false" customHeight="false" hidden="false" ht="15" outlineLevel="0" r="7">
      <c r="B7" s="2" t="s">
        <v>43</v>
      </c>
      <c r="C7" s="2" t="s">
        <v>26</v>
      </c>
      <c r="D7" s="2" t="s">
        <v>15</v>
      </c>
      <c r="E7" s="2" t="n">
        <f aca="false">CONCATENATE(G7)</f>
        <v>0</v>
      </c>
      <c r="F7" s="2" t="s">
        <v>44</v>
      </c>
      <c r="G7" s="2" t="s">
        <v>28</v>
      </c>
      <c r="H7" s="2" t="n">
        <v>20</v>
      </c>
      <c r="I7" s="2" t="n">
        <v>67</v>
      </c>
      <c r="J7" s="3" t="s">
        <v>45</v>
      </c>
      <c r="K7" s="2" t="n">
        <f aca="false">LEN(F7)</f>
        <v>48</v>
      </c>
      <c r="M7" s="2" t="s">
        <v>46</v>
      </c>
      <c r="N7" s="2" t="s">
        <v>42</v>
      </c>
    </row>
    <row collapsed="false" customFormat="false" customHeight="false" hidden="false" ht="15" outlineLevel="0" r="8">
      <c r="B8" s="2" t="s">
        <v>47</v>
      </c>
      <c r="C8" s="2" t="s">
        <v>26</v>
      </c>
      <c r="D8" s="2" t="s">
        <v>15</v>
      </c>
      <c r="E8" s="2" t="n">
        <f aca="false">CONCATENATE(G8)</f>
        <v>0</v>
      </c>
      <c r="F8" s="2" t="s">
        <v>48</v>
      </c>
      <c r="G8" s="2" t="s">
        <v>28</v>
      </c>
      <c r="H8" s="2" t="n">
        <v>338</v>
      </c>
      <c r="I8" s="2" t="n">
        <v>343</v>
      </c>
      <c r="J8" s="2" t="s">
        <v>49</v>
      </c>
      <c r="K8" s="2" t="n">
        <f aca="false">LEN(F8)</f>
        <v>6</v>
      </c>
      <c r="M8" s="2" t="s">
        <v>50</v>
      </c>
      <c r="N8" s="2" t="s">
        <v>51</v>
      </c>
    </row>
    <row collapsed="false" customFormat="false" customHeight="false" hidden="false" ht="15" outlineLevel="0" r="9">
      <c r="B9" s="2" t="s">
        <v>52</v>
      </c>
      <c r="C9" s="2" t="s">
        <v>26</v>
      </c>
      <c r="D9" s="2" t="s">
        <v>15</v>
      </c>
      <c r="E9" s="2" t="n">
        <f aca="false">CONCATENATE(G9)</f>
        <v>0</v>
      </c>
      <c r="F9" s="2" t="s">
        <v>53</v>
      </c>
      <c r="G9" s="2" t="s">
        <v>28</v>
      </c>
      <c r="H9" s="2" t="n">
        <v>543</v>
      </c>
      <c r="I9" s="2" t="n">
        <v>547</v>
      </c>
      <c r="J9" s="2" t="s">
        <v>54</v>
      </c>
      <c r="K9" s="2" t="n">
        <f aca="false">LEN(F9)</f>
        <v>5</v>
      </c>
      <c r="M9" s="2" t="s">
        <v>50</v>
      </c>
      <c r="N9" s="2" t="s">
        <v>51</v>
      </c>
    </row>
    <row collapsed="false" customFormat="false" customHeight="false" hidden="false" ht="15" outlineLevel="0" r="10">
      <c r="B10" s="2" t="s">
        <v>55</v>
      </c>
      <c r="C10" s="2" t="s">
        <v>26</v>
      </c>
      <c r="D10" s="2" t="s">
        <v>15</v>
      </c>
      <c r="E10" s="2" t="n">
        <f aca="false">CONCATENATE(G10)</f>
        <v>0</v>
      </c>
      <c r="F10" s="2" t="s">
        <v>56</v>
      </c>
      <c r="G10" s="2" t="s">
        <v>28</v>
      </c>
      <c r="H10" s="2" t="n">
        <v>680</v>
      </c>
      <c r="I10" s="2" t="n">
        <v>686</v>
      </c>
      <c r="J10" s="2" t="s">
        <v>57</v>
      </c>
      <c r="K10" s="2" t="n">
        <f aca="false">LEN(F10)</f>
        <v>7</v>
      </c>
      <c r="M10" s="2" t="s">
        <v>50</v>
      </c>
      <c r="N10" s="2" t="s">
        <v>51</v>
      </c>
    </row>
    <row collapsed="false" customFormat="false" customHeight="false" hidden="false" ht="15" outlineLevel="0" r="11">
      <c r="B11" s="2" t="s">
        <v>58</v>
      </c>
      <c r="C11" s="2" t="s">
        <v>59</v>
      </c>
      <c r="D11" s="2" t="s">
        <v>15</v>
      </c>
      <c r="E11" s="2" t="n">
        <f aca="false">CONCATENATE(G11)</f>
        <v>0</v>
      </c>
      <c r="F11" s="2" t="s">
        <v>60</v>
      </c>
      <c r="G11" s="2" t="s">
        <v>61</v>
      </c>
      <c r="H11" s="2" t="n">
        <v>69</v>
      </c>
      <c r="I11" s="2" t="n">
        <v>72</v>
      </c>
      <c r="J11" s="4" t="s">
        <v>62</v>
      </c>
      <c r="K11" s="2" t="n">
        <f aca="false">LEN(F11)</f>
        <v>4</v>
      </c>
      <c r="M11" s="2" t="s">
        <v>50</v>
      </c>
      <c r="N11" s="2" t="s">
        <v>63</v>
      </c>
    </row>
    <row collapsed="false" customFormat="false" customHeight="false" hidden="false" ht="15" outlineLevel="0" r="12">
      <c r="A12" s="5"/>
      <c r="B12" s="2" t="s">
        <v>64</v>
      </c>
      <c r="C12" s="2" t="s">
        <v>65</v>
      </c>
      <c r="D12" s="2" t="s">
        <v>33</v>
      </c>
      <c r="E12" s="2" t="n">
        <f aca="false">CONCATENATE(G12)</f>
        <v>0</v>
      </c>
      <c r="F12" s="2" t="s">
        <v>66</v>
      </c>
      <c r="G12" s="2" t="s">
        <v>67</v>
      </c>
      <c r="H12" s="2" t="n">
        <v>105</v>
      </c>
      <c r="I12" s="2" t="n">
        <v>111</v>
      </c>
      <c r="J12" s="2" t="s">
        <v>68</v>
      </c>
      <c r="K12" s="2" t="n">
        <f aca="false">LEN(F12)</f>
        <v>7</v>
      </c>
      <c r="M12" s="2" t="s">
        <v>69</v>
      </c>
      <c r="N12" s="2" t="s">
        <v>70</v>
      </c>
    </row>
    <row collapsed="false" customFormat="false" customHeight="false" hidden="false" ht="15" outlineLevel="0" r="13">
      <c r="A13" s="5"/>
      <c r="B13" s="2" t="s">
        <v>71</v>
      </c>
      <c r="C13" s="2" t="s">
        <v>65</v>
      </c>
      <c r="D13" s="2" t="s">
        <v>33</v>
      </c>
      <c r="E13" s="2" t="n">
        <f aca="false">CONCATENATE(G13)</f>
        <v>0</v>
      </c>
      <c r="F13" s="2" t="s">
        <v>72</v>
      </c>
      <c r="G13" s="2" t="s">
        <v>67</v>
      </c>
      <c r="H13" s="2" t="n">
        <v>209</v>
      </c>
      <c r="I13" s="2" t="n">
        <v>214</v>
      </c>
      <c r="J13" s="2" t="s">
        <v>73</v>
      </c>
      <c r="K13" s="2" t="n">
        <f aca="false">LEN(F13)</f>
        <v>6</v>
      </c>
      <c r="M13" s="2" t="s">
        <v>74</v>
      </c>
      <c r="N13" s="2" t="s">
        <v>75</v>
      </c>
    </row>
    <row collapsed="false" customFormat="false" customHeight="false" hidden="false" ht="15" outlineLevel="0" r="14">
      <c r="A14" s="6"/>
      <c r="B14" s="7" t="s">
        <v>76</v>
      </c>
      <c r="C14" s="2" t="s">
        <v>65</v>
      </c>
      <c r="D14" s="2" t="s">
        <v>33</v>
      </c>
      <c r="E14" s="2" t="n">
        <f aca="false">CONCATENATE(G14)</f>
        <v>0</v>
      </c>
      <c r="F14" s="7" t="s">
        <v>77</v>
      </c>
      <c r="G14" s="2" t="s">
        <v>67</v>
      </c>
      <c r="H14" s="7" t="n">
        <v>36</v>
      </c>
      <c r="I14" s="7" t="n">
        <v>44</v>
      </c>
      <c r="J14" s="7" t="s">
        <v>78</v>
      </c>
      <c r="K14" s="2" t="n">
        <f aca="false">LEN(F14)</f>
        <v>8</v>
      </c>
      <c r="M14" s="7" t="s">
        <v>79</v>
      </c>
      <c r="N14" s="2" t="s">
        <v>80</v>
      </c>
    </row>
    <row collapsed="false" customFormat="false" customHeight="false" hidden="false" ht="15" outlineLevel="0" r="15">
      <c r="A15" s="6"/>
      <c r="B15" s="7" t="s">
        <v>81</v>
      </c>
      <c r="C15" s="2" t="s">
        <v>65</v>
      </c>
      <c r="D15" s="2" t="s">
        <v>33</v>
      </c>
      <c r="E15" s="2" t="n">
        <f aca="false">CONCATENATE(G15)</f>
        <v>0</v>
      </c>
      <c r="F15" s="7" t="s">
        <v>82</v>
      </c>
      <c r="G15" s="2" t="s">
        <v>67</v>
      </c>
      <c r="H15" s="7" t="n">
        <v>45</v>
      </c>
      <c r="I15" s="7" t="n">
        <v>53</v>
      </c>
      <c r="J15" s="7" t="s">
        <v>83</v>
      </c>
      <c r="K15" s="2" t="n">
        <f aca="false">LEN(F15)</f>
        <v>9</v>
      </c>
      <c r="M15" s="7" t="s">
        <v>79</v>
      </c>
      <c r="N15" s="2" t="s">
        <v>80</v>
      </c>
    </row>
    <row collapsed="false" customFormat="false" customHeight="false" hidden="false" ht="15" outlineLevel="0" r="16">
      <c r="A16" s="5"/>
      <c r="B16" s="2" t="s">
        <v>84</v>
      </c>
      <c r="C16" s="2" t="s">
        <v>65</v>
      </c>
      <c r="D16" s="2" t="s">
        <v>33</v>
      </c>
      <c r="E16" s="2" t="n">
        <f aca="false">CONCATENATE(G16)</f>
        <v>0</v>
      </c>
      <c r="F16" s="2" t="s">
        <v>85</v>
      </c>
      <c r="G16" s="2" t="s">
        <v>67</v>
      </c>
      <c r="H16" s="2" t="n">
        <v>195</v>
      </c>
      <c r="I16" s="2" t="n">
        <v>208</v>
      </c>
      <c r="J16" s="2" t="s">
        <v>86</v>
      </c>
      <c r="K16" s="2" t="n">
        <f aca="false">LEN(F16)</f>
        <v>14</v>
      </c>
      <c r="M16" s="2" t="s">
        <v>79</v>
      </c>
      <c r="N16" s="2" t="s">
        <v>80</v>
      </c>
    </row>
    <row collapsed="false" customFormat="false" customHeight="false" hidden="false" ht="15" outlineLevel="0" r="17">
      <c r="A17" s="5"/>
      <c r="B17" s="2" t="s">
        <v>87</v>
      </c>
      <c r="C17" s="2" t="s">
        <v>65</v>
      </c>
      <c r="D17" s="2" t="s">
        <v>33</v>
      </c>
      <c r="E17" s="2" t="n">
        <f aca="false">CONCATENATE(G17)</f>
        <v>0</v>
      </c>
      <c r="F17" s="2" t="s">
        <v>88</v>
      </c>
      <c r="G17" s="2" t="s">
        <v>67</v>
      </c>
      <c r="H17" s="2" t="n">
        <v>16</v>
      </c>
      <c r="I17" s="2" t="n">
        <v>38</v>
      </c>
      <c r="J17" s="8" t="n">
        <v>41297</v>
      </c>
      <c r="K17" s="2" t="n">
        <f aca="false">LEN(F17)</f>
        <v>23</v>
      </c>
      <c r="M17" s="2" t="s">
        <v>79</v>
      </c>
      <c r="N17" s="2" t="s">
        <v>89</v>
      </c>
    </row>
    <row collapsed="false" customFormat="false" customHeight="false" hidden="false" ht="15" outlineLevel="0" r="18">
      <c r="A18" s="6"/>
      <c r="B18" s="2" t="s">
        <v>90</v>
      </c>
      <c r="C18" s="2" t="s">
        <v>65</v>
      </c>
      <c r="D18" s="2" t="s">
        <v>33</v>
      </c>
      <c r="E18" s="2" t="n">
        <f aca="false">CONCATENATE(G18)</f>
        <v>0</v>
      </c>
      <c r="F18" s="2" t="s">
        <v>91</v>
      </c>
      <c r="G18" s="2" t="s">
        <v>67</v>
      </c>
      <c r="H18" s="2" t="n">
        <v>114</v>
      </c>
      <c r="I18" s="2" t="n">
        <v>124</v>
      </c>
      <c r="J18" s="2" t="s">
        <v>92</v>
      </c>
      <c r="K18" s="2" t="n">
        <f aca="false">LEN(F18)</f>
        <v>11</v>
      </c>
      <c r="M18" s="2" t="s">
        <v>79</v>
      </c>
      <c r="N18" s="2" t="s">
        <v>93</v>
      </c>
    </row>
    <row collapsed="false" customFormat="false" customHeight="false" hidden="false" ht="15" outlineLevel="0" r="19">
      <c r="A19" s="5"/>
      <c r="B19" s="2" t="s">
        <v>94</v>
      </c>
      <c r="C19" s="2" t="s">
        <v>65</v>
      </c>
      <c r="D19" s="2" t="s">
        <v>33</v>
      </c>
      <c r="E19" s="2" t="n">
        <f aca="false">CONCATENATE(G19)</f>
        <v>0</v>
      </c>
      <c r="F19" s="2" t="s">
        <v>95</v>
      </c>
      <c r="G19" s="2" t="s">
        <v>67</v>
      </c>
      <c r="H19" s="2" t="n">
        <v>119</v>
      </c>
      <c r="I19" s="2" t="n">
        <v>124</v>
      </c>
      <c r="J19" s="2" t="s">
        <v>96</v>
      </c>
      <c r="K19" s="2" t="n">
        <f aca="false">LEN(F19)</f>
        <v>6</v>
      </c>
      <c r="M19" s="2" t="s">
        <v>97</v>
      </c>
      <c r="N19" s="2" t="s">
        <v>98</v>
      </c>
    </row>
    <row collapsed="false" customFormat="false" customHeight="false" hidden="false" ht="15" outlineLevel="0" r="20">
      <c r="A20" s="5"/>
      <c r="B20" s="2" t="s">
        <v>99</v>
      </c>
      <c r="C20" s="2" t="s">
        <v>65</v>
      </c>
      <c r="D20" s="2" t="s">
        <v>33</v>
      </c>
      <c r="E20" s="2" t="n">
        <f aca="false">CONCATENATE(G20)</f>
        <v>0</v>
      </c>
      <c r="F20" s="2" t="s">
        <v>100</v>
      </c>
      <c r="G20" s="2" t="s">
        <v>67</v>
      </c>
      <c r="H20" s="2" t="n">
        <v>157</v>
      </c>
      <c r="I20" s="2" t="n">
        <v>162</v>
      </c>
      <c r="J20" s="2" t="s">
        <v>101</v>
      </c>
      <c r="K20" s="2" t="n">
        <f aca="false">LEN(F20)</f>
        <v>6</v>
      </c>
      <c r="M20" s="2" t="s">
        <v>97</v>
      </c>
      <c r="N20" s="2" t="s">
        <v>75</v>
      </c>
    </row>
    <row collapsed="false" customFormat="false" customHeight="false" hidden="false" ht="15" outlineLevel="0" r="21">
      <c r="A21" s="5"/>
      <c r="B21" s="2" t="s">
        <v>102</v>
      </c>
      <c r="C21" s="2" t="s">
        <v>65</v>
      </c>
      <c r="D21" s="2" t="s">
        <v>33</v>
      </c>
      <c r="E21" s="2" t="n">
        <f aca="false">CONCATENATE(G21)</f>
        <v>0</v>
      </c>
      <c r="F21" s="2" t="s">
        <v>103</v>
      </c>
      <c r="G21" s="2" t="s">
        <v>67</v>
      </c>
      <c r="H21" s="2" t="n">
        <v>172</v>
      </c>
      <c r="I21" s="2" t="n">
        <v>179</v>
      </c>
      <c r="J21" s="2" t="s">
        <v>104</v>
      </c>
      <c r="K21" s="2" t="n">
        <f aca="false">LEN(F21)</f>
        <v>8</v>
      </c>
      <c r="M21" s="2" t="s">
        <v>97</v>
      </c>
      <c r="N21" s="2" t="s">
        <v>75</v>
      </c>
    </row>
    <row collapsed="false" customFormat="false" customHeight="false" hidden="false" ht="15" outlineLevel="0" r="22">
      <c r="A22" s="5"/>
      <c r="B22" s="2" t="s">
        <v>105</v>
      </c>
      <c r="C22" s="2" t="s">
        <v>65</v>
      </c>
      <c r="D22" s="2" t="s">
        <v>106</v>
      </c>
      <c r="E22" s="2" t="n">
        <f aca="false">CONCATENATE(G22)</f>
        <v>0</v>
      </c>
      <c r="F22" s="2" t="s">
        <v>107</v>
      </c>
      <c r="G22" s="2" t="s">
        <v>108</v>
      </c>
      <c r="H22" s="2" t="n">
        <v>73</v>
      </c>
      <c r="I22" s="2" t="n">
        <v>76</v>
      </c>
      <c r="J22" s="2" t="s">
        <v>109</v>
      </c>
      <c r="K22" s="2" t="n">
        <f aca="false">LEN(F22)</f>
        <v>4</v>
      </c>
      <c r="M22" s="2" t="s">
        <v>97</v>
      </c>
      <c r="N22" s="2" t="s">
        <v>110</v>
      </c>
    </row>
    <row collapsed="false" customFormat="false" customHeight="false" hidden="false" ht="15" outlineLevel="0" r="23">
      <c r="A23" s="5"/>
      <c r="B23" s="2" t="s">
        <v>111</v>
      </c>
      <c r="C23" s="2" t="s">
        <v>65</v>
      </c>
      <c r="D23" s="2" t="s">
        <v>33</v>
      </c>
      <c r="E23" s="2" t="n">
        <f aca="false">CONCATENATE(G23)</f>
        <v>0</v>
      </c>
      <c r="F23" s="2" t="s">
        <v>112</v>
      </c>
      <c r="G23" s="2" t="s">
        <v>67</v>
      </c>
      <c r="H23" s="2" t="n">
        <v>95</v>
      </c>
      <c r="I23" s="2" t="n">
        <v>105</v>
      </c>
      <c r="J23" s="2" t="s">
        <v>113</v>
      </c>
      <c r="K23" s="2" t="n">
        <f aca="false">LEN(F23)</f>
        <v>11</v>
      </c>
      <c r="L23" s="2" t="s">
        <v>114</v>
      </c>
      <c r="M23" s="2" t="s">
        <v>115</v>
      </c>
      <c r="N23" s="2" t="s">
        <v>116</v>
      </c>
    </row>
    <row collapsed="false" customFormat="false" customHeight="false" hidden="false" ht="15" outlineLevel="0" r="24">
      <c r="A24" s="5"/>
      <c r="B24" s="2" t="s">
        <v>117</v>
      </c>
      <c r="C24" s="2" t="s">
        <v>65</v>
      </c>
      <c r="D24" s="2" t="s">
        <v>33</v>
      </c>
      <c r="E24" s="2" t="n">
        <f aca="false">CONCATENATE(G24)</f>
        <v>0</v>
      </c>
      <c r="F24" s="2" t="s">
        <v>118</v>
      </c>
      <c r="G24" s="2" t="s">
        <v>67</v>
      </c>
      <c r="H24" s="2" t="n">
        <v>38</v>
      </c>
      <c r="I24" s="2" t="n">
        <v>42</v>
      </c>
      <c r="J24" s="2" t="s">
        <v>119</v>
      </c>
      <c r="K24" s="2" t="n">
        <f aca="false">LEN(F24)</f>
        <v>5</v>
      </c>
      <c r="M24" s="2" t="s">
        <v>97</v>
      </c>
      <c r="N24" s="2" t="s">
        <v>120</v>
      </c>
    </row>
    <row collapsed="false" customFormat="false" customHeight="false" hidden="false" ht="15" outlineLevel="0" r="25">
      <c r="A25" s="5"/>
      <c r="B25" s="2" t="s">
        <v>121</v>
      </c>
      <c r="C25" s="2" t="s">
        <v>122</v>
      </c>
      <c r="D25" s="2" t="s">
        <v>33</v>
      </c>
      <c r="E25" s="2" t="n">
        <f aca="false">CONCATENATE(G25)</f>
        <v>0</v>
      </c>
      <c r="F25" s="2" t="s">
        <v>123</v>
      </c>
      <c r="G25" s="2" t="s">
        <v>124</v>
      </c>
      <c r="H25" s="2" t="n">
        <v>165</v>
      </c>
      <c r="I25" s="2" t="n">
        <v>203</v>
      </c>
      <c r="J25" s="2" t="s">
        <v>125</v>
      </c>
      <c r="K25" s="2" t="n">
        <f aca="false">LEN(F25)</f>
        <v>39</v>
      </c>
      <c r="M25" s="2" t="s">
        <v>126</v>
      </c>
      <c r="N25" s="2" t="s">
        <v>127</v>
      </c>
    </row>
    <row collapsed="false" customFormat="false" customHeight="false" hidden="false" ht="15" outlineLevel="0" r="26">
      <c r="A26" s="5"/>
      <c r="B26" s="2" t="s">
        <v>128</v>
      </c>
      <c r="C26" s="2" t="s">
        <v>122</v>
      </c>
      <c r="D26" s="2" t="s">
        <v>33</v>
      </c>
      <c r="E26" s="2" t="n">
        <f aca="false">CONCATENATE(G26)</f>
        <v>0</v>
      </c>
      <c r="F26" s="2" t="s">
        <v>129</v>
      </c>
      <c r="G26" s="2" t="s">
        <v>124</v>
      </c>
      <c r="H26" s="2" t="n">
        <v>196</v>
      </c>
      <c r="I26" s="2" t="n">
        <v>222</v>
      </c>
      <c r="J26" s="2" t="s">
        <v>130</v>
      </c>
      <c r="K26" s="2" t="n">
        <f aca="false">LEN(F26)</f>
        <v>27</v>
      </c>
      <c r="M26" s="2" t="s">
        <v>79</v>
      </c>
      <c r="N26" s="2" t="s">
        <v>131</v>
      </c>
    </row>
    <row collapsed="false" customFormat="false" customHeight="false" hidden="false" ht="15" outlineLevel="0" r="27">
      <c r="A27" s="5"/>
      <c r="B27" s="2" t="s">
        <v>132</v>
      </c>
      <c r="C27" s="2" t="s">
        <v>122</v>
      </c>
      <c r="D27" s="2" t="s">
        <v>33</v>
      </c>
      <c r="E27" s="2" t="n">
        <f aca="false">CONCATENATE(G27)</f>
        <v>0</v>
      </c>
      <c r="F27" s="2" t="s">
        <v>133</v>
      </c>
      <c r="G27" s="2" t="s">
        <v>124</v>
      </c>
      <c r="H27" s="2" t="n">
        <v>195</v>
      </c>
      <c r="I27" s="2" t="n">
        <v>222</v>
      </c>
      <c r="J27" s="2" t="s">
        <v>134</v>
      </c>
      <c r="K27" s="2" t="n">
        <f aca="false">LEN(F27)</f>
        <v>28</v>
      </c>
      <c r="M27" s="2" t="s">
        <v>79</v>
      </c>
      <c r="N27" s="2" t="s">
        <v>131</v>
      </c>
    </row>
    <row collapsed="false" customFormat="false" customHeight="false" hidden="false" ht="15" outlineLevel="0" r="28">
      <c r="A28" s="5"/>
      <c r="B28" s="2" t="s">
        <v>135</v>
      </c>
      <c r="C28" s="2" t="s">
        <v>122</v>
      </c>
      <c r="D28" s="2" t="s">
        <v>33</v>
      </c>
      <c r="E28" s="2" t="n">
        <f aca="false">CONCATENATE(G28)</f>
        <v>0</v>
      </c>
      <c r="F28" s="2" t="s">
        <v>136</v>
      </c>
      <c r="G28" s="2" t="s">
        <v>124</v>
      </c>
      <c r="H28" s="2" t="n">
        <v>180</v>
      </c>
      <c r="I28" s="2" t="n">
        <v>222</v>
      </c>
      <c r="J28" s="2" t="s">
        <v>137</v>
      </c>
      <c r="K28" s="2" t="n">
        <f aca="false">LEN(F28)</f>
        <v>33</v>
      </c>
      <c r="M28" s="2" t="s">
        <v>79</v>
      </c>
      <c r="N28" s="2" t="s">
        <v>131</v>
      </c>
    </row>
    <row collapsed="false" customFormat="false" customHeight="false" hidden="false" ht="15" outlineLevel="0" r="29">
      <c r="A29" s="5"/>
      <c r="B29" s="2" t="s">
        <v>138</v>
      </c>
      <c r="C29" s="2" t="s">
        <v>122</v>
      </c>
      <c r="D29" s="2" t="s">
        <v>33</v>
      </c>
      <c r="E29" s="2" t="n">
        <f aca="false">CONCATENATE(G29)</f>
        <v>0</v>
      </c>
      <c r="F29" s="2" t="s">
        <v>139</v>
      </c>
      <c r="G29" s="2" t="s">
        <v>124</v>
      </c>
      <c r="H29" s="2" t="n">
        <v>179</v>
      </c>
      <c r="I29" s="2" t="n">
        <v>222</v>
      </c>
      <c r="J29" s="2" t="s">
        <v>140</v>
      </c>
      <c r="K29" s="2" t="n">
        <f aca="false">LEN(F29)</f>
        <v>40</v>
      </c>
      <c r="M29" s="2" t="s">
        <v>79</v>
      </c>
      <c r="N29" s="2" t="s">
        <v>131</v>
      </c>
    </row>
    <row collapsed="false" customFormat="false" customHeight="false" hidden="false" ht="15" outlineLevel="0" r="30">
      <c r="A30" s="5"/>
      <c r="B30" s="2" t="s">
        <v>141</v>
      </c>
      <c r="C30" s="2" t="s">
        <v>122</v>
      </c>
      <c r="D30" s="2" t="s">
        <v>33</v>
      </c>
      <c r="E30" s="2" t="n">
        <f aca="false">CONCATENATE(G30)</f>
        <v>0</v>
      </c>
      <c r="F30" s="2" t="s">
        <v>142</v>
      </c>
      <c r="G30" s="2" t="s">
        <v>124</v>
      </c>
      <c r="H30" s="2" t="n">
        <v>187</v>
      </c>
      <c r="I30" s="2" t="n">
        <v>222</v>
      </c>
      <c r="J30" s="2" t="s">
        <v>143</v>
      </c>
      <c r="K30" s="2" t="n">
        <f aca="false">LEN(F30)</f>
        <v>36</v>
      </c>
      <c r="M30" s="2" t="s">
        <v>79</v>
      </c>
      <c r="N30" s="2" t="s">
        <v>131</v>
      </c>
    </row>
    <row collapsed="false" customFormat="false" customHeight="false" hidden="false" ht="15" outlineLevel="0" r="31">
      <c r="A31" s="5"/>
      <c r="B31" s="2" t="s">
        <v>144</v>
      </c>
      <c r="C31" s="2" t="s">
        <v>122</v>
      </c>
      <c r="D31" s="2" t="s">
        <v>106</v>
      </c>
      <c r="E31" s="2" t="n">
        <f aca="false">CONCATENATE(G31)</f>
        <v>0</v>
      </c>
      <c r="F31" s="2" t="s">
        <v>145</v>
      </c>
      <c r="G31" s="2" t="s">
        <v>146</v>
      </c>
      <c r="H31" s="2" t="n">
        <v>179</v>
      </c>
      <c r="I31" s="2" t="n">
        <v>184</v>
      </c>
      <c r="J31" s="2" t="s">
        <v>147</v>
      </c>
      <c r="K31" s="2" t="n">
        <f aca="false">LEN(F31)</f>
        <v>6</v>
      </c>
      <c r="M31" s="2" t="s">
        <v>97</v>
      </c>
      <c r="N31" s="2" t="s">
        <v>110</v>
      </c>
    </row>
    <row collapsed="false" customFormat="false" customHeight="false" hidden="false" ht="15" outlineLevel="0" r="32">
      <c r="A32" s="5"/>
      <c r="B32" s="2" t="s">
        <v>148</v>
      </c>
      <c r="C32" s="2" t="s">
        <v>122</v>
      </c>
      <c r="D32" s="2" t="s">
        <v>33</v>
      </c>
      <c r="E32" s="2" t="n">
        <f aca="false">CONCATENATE(G32)</f>
        <v>0</v>
      </c>
      <c r="F32" s="2" t="s">
        <v>149</v>
      </c>
      <c r="G32" s="2" t="s">
        <v>124</v>
      </c>
      <c r="H32" s="2" t="n">
        <v>179</v>
      </c>
      <c r="I32" s="2" t="n">
        <v>194</v>
      </c>
      <c r="J32" s="2" t="s">
        <v>150</v>
      </c>
      <c r="K32" s="2" t="n">
        <f aca="false">LEN(F32)</f>
        <v>16</v>
      </c>
      <c r="M32" s="2" t="s">
        <v>79</v>
      </c>
      <c r="N32" s="2" t="s">
        <v>151</v>
      </c>
    </row>
    <row collapsed="false" customFormat="false" customHeight="false" hidden="false" ht="15" outlineLevel="0" r="33">
      <c r="A33" s="5"/>
      <c r="B33" s="2" t="s">
        <v>152</v>
      </c>
      <c r="C33" s="2" t="s">
        <v>122</v>
      </c>
      <c r="D33" s="2" t="s">
        <v>33</v>
      </c>
      <c r="E33" s="2" t="n">
        <f aca="false">CONCATENATE(G33)</f>
        <v>0</v>
      </c>
      <c r="F33" s="2" t="s">
        <v>153</v>
      </c>
      <c r="G33" s="2" t="s">
        <v>124</v>
      </c>
      <c r="H33" s="2" t="n">
        <v>189</v>
      </c>
      <c r="I33" s="2" t="n">
        <v>197</v>
      </c>
      <c r="J33" s="2" t="s">
        <v>154</v>
      </c>
      <c r="K33" s="2" t="n">
        <f aca="false">LEN(F33)</f>
        <v>8</v>
      </c>
      <c r="M33" s="2" t="s">
        <v>97</v>
      </c>
      <c r="N33" s="2" t="s">
        <v>155</v>
      </c>
    </row>
    <row collapsed="false" customFormat="false" customHeight="false" hidden="false" ht="15" outlineLevel="0" r="34">
      <c r="A34" s="5"/>
      <c r="B34" s="2" t="s">
        <v>156</v>
      </c>
      <c r="C34" s="2" t="s">
        <v>122</v>
      </c>
      <c r="D34" s="2" t="s">
        <v>33</v>
      </c>
      <c r="E34" s="2" t="n">
        <f aca="false">CONCATENATE(G34)</f>
        <v>0</v>
      </c>
      <c r="F34" s="2" t="s">
        <v>157</v>
      </c>
      <c r="G34" s="2" t="s">
        <v>124</v>
      </c>
      <c r="H34" s="2" t="n">
        <v>198</v>
      </c>
      <c r="I34" s="2" t="n">
        <v>222</v>
      </c>
      <c r="J34" s="2" t="s">
        <v>158</v>
      </c>
      <c r="K34" s="2" t="n">
        <f aca="false">LEN(F34)</f>
        <v>25</v>
      </c>
      <c r="M34" s="2" t="s">
        <v>79</v>
      </c>
      <c r="N34" s="2" t="s">
        <v>151</v>
      </c>
    </row>
    <row collapsed="false" customFormat="false" customHeight="false" hidden="false" ht="15" outlineLevel="0" r="35">
      <c r="A35" s="5"/>
      <c r="B35" s="2" t="s">
        <v>159</v>
      </c>
      <c r="C35" s="2" t="s">
        <v>122</v>
      </c>
      <c r="D35" s="2" t="s">
        <v>33</v>
      </c>
      <c r="E35" s="2" t="n">
        <f aca="false">CONCATENATE(G35)</f>
        <v>0</v>
      </c>
      <c r="F35" s="2" t="s">
        <v>160</v>
      </c>
      <c r="G35" s="2" t="s">
        <v>124</v>
      </c>
      <c r="H35" s="2" t="n">
        <v>204</v>
      </c>
      <c r="I35" s="2" t="n">
        <v>212</v>
      </c>
      <c r="J35" s="2" t="s">
        <v>161</v>
      </c>
      <c r="K35" s="2" t="n">
        <f aca="false">LEN(F35)</f>
        <v>9</v>
      </c>
      <c r="M35" s="2" t="s">
        <v>97</v>
      </c>
      <c r="N35" s="2" t="s">
        <v>98</v>
      </c>
    </row>
    <row collapsed="false" customFormat="false" customHeight="false" hidden="false" ht="15" outlineLevel="0" r="36">
      <c r="A36" s="5"/>
      <c r="B36" s="2" t="s">
        <v>162</v>
      </c>
      <c r="C36" s="2" t="s">
        <v>122</v>
      </c>
      <c r="D36" s="2" t="s">
        <v>33</v>
      </c>
      <c r="E36" s="2" t="n">
        <f aca="false">CONCATENATE(G36)</f>
        <v>0</v>
      </c>
      <c r="F36" s="2" t="s">
        <v>163</v>
      </c>
      <c r="G36" s="2" t="s">
        <v>124</v>
      </c>
      <c r="H36" s="2" t="n">
        <v>213</v>
      </c>
      <c r="I36" s="2" t="n">
        <v>217</v>
      </c>
      <c r="J36" s="2" t="s">
        <v>164</v>
      </c>
      <c r="K36" s="2" t="n">
        <f aca="false">LEN(F36)</f>
        <v>5</v>
      </c>
      <c r="M36" s="2" t="s">
        <v>97</v>
      </c>
      <c r="N36" s="2" t="s">
        <v>98</v>
      </c>
    </row>
    <row collapsed="false" customFormat="false" customHeight="false" hidden="false" ht="15" outlineLevel="0" r="37">
      <c r="A37" s="5"/>
      <c r="B37" s="6" t="s">
        <v>165</v>
      </c>
      <c r="C37" s="2" t="s">
        <v>14</v>
      </c>
      <c r="D37" s="6" t="s">
        <v>33</v>
      </c>
      <c r="E37" s="2" t="n">
        <f aca="false">CONCATENATE(G37)</f>
        <v>0</v>
      </c>
      <c r="F37" s="6" t="s">
        <v>166</v>
      </c>
      <c r="G37" s="2" t="s">
        <v>167</v>
      </c>
      <c r="H37" s="6" t="n">
        <v>208</v>
      </c>
      <c r="I37" s="6" t="n">
        <v>217</v>
      </c>
      <c r="J37" s="6" t="s">
        <v>168</v>
      </c>
      <c r="K37" s="2" t="n">
        <f aca="false">LEN(F37)</f>
        <v>10</v>
      </c>
      <c r="L37" s="6"/>
      <c r="M37" s="6" t="s">
        <v>115</v>
      </c>
      <c r="N37" s="6" t="s">
        <v>70</v>
      </c>
    </row>
    <row collapsed="false" customFormat="false" customHeight="false" hidden="false" ht="15" outlineLevel="0" r="38">
      <c r="A38" s="9"/>
      <c r="B38" s="2" t="s">
        <v>169</v>
      </c>
      <c r="C38" s="2" t="s">
        <v>14</v>
      </c>
      <c r="D38" s="2" t="s">
        <v>33</v>
      </c>
      <c r="E38" s="2" t="n">
        <f aca="false">CONCATENATE(G38)</f>
        <v>0</v>
      </c>
      <c r="F38" s="2" t="s">
        <v>170</v>
      </c>
      <c r="G38" s="2" t="s">
        <v>167</v>
      </c>
      <c r="H38" s="2" t="n">
        <v>192</v>
      </c>
      <c r="I38" s="2" t="n">
        <v>198</v>
      </c>
      <c r="J38" s="2" t="s">
        <v>171</v>
      </c>
      <c r="K38" s="2" t="n">
        <f aca="false">LEN(F38)</f>
        <v>7</v>
      </c>
      <c r="M38" s="6" t="s">
        <v>115</v>
      </c>
      <c r="N38" s="2" t="s">
        <v>120</v>
      </c>
    </row>
    <row collapsed="false" customFormat="false" customHeight="false" hidden="false" ht="15" outlineLevel="0" r="39">
      <c r="A39" s="2" t="s">
        <v>172</v>
      </c>
      <c r="B39" s="6" t="s">
        <v>173</v>
      </c>
      <c r="C39" s="2" t="s">
        <v>14</v>
      </c>
      <c r="D39" s="6" t="s">
        <v>33</v>
      </c>
      <c r="E39" s="2" t="n">
        <f aca="false">CONCATENATE(G39)</f>
        <v>0</v>
      </c>
      <c r="F39" s="6" t="s">
        <v>174</v>
      </c>
      <c r="G39" s="2" t="s">
        <v>167</v>
      </c>
      <c r="H39" s="6" t="n">
        <v>75</v>
      </c>
      <c r="I39" s="6" t="n">
        <v>85</v>
      </c>
      <c r="J39" s="6" t="s">
        <v>175</v>
      </c>
      <c r="K39" s="2" t="n">
        <f aca="false">LEN(F39)</f>
        <v>11</v>
      </c>
      <c r="L39" s="6"/>
      <c r="M39" s="6" t="s">
        <v>69</v>
      </c>
      <c r="N39" s="6" t="s">
        <v>70</v>
      </c>
    </row>
    <row collapsed="false" customFormat="false" customHeight="false" hidden="false" ht="15" outlineLevel="0" r="40">
      <c r="A40" s="2" t="s">
        <v>172</v>
      </c>
      <c r="B40" s="6" t="s">
        <v>176</v>
      </c>
      <c r="C40" s="2" t="s">
        <v>14</v>
      </c>
      <c r="D40" s="6" t="s">
        <v>33</v>
      </c>
      <c r="E40" s="2" t="n">
        <f aca="false">CONCATENATE(G40)</f>
        <v>0</v>
      </c>
      <c r="F40" s="6" t="s">
        <v>177</v>
      </c>
      <c r="G40" s="2" t="s">
        <v>167</v>
      </c>
      <c r="H40" s="6" t="n">
        <v>75</v>
      </c>
      <c r="I40" s="6" t="n">
        <v>79</v>
      </c>
      <c r="J40" s="6" t="s">
        <v>178</v>
      </c>
      <c r="K40" s="2" t="n">
        <f aca="false">LEN(F40)</f>
        <v>5</v>
      </c>
      <c r="L40" s="6"/>
      <c r="M40" s="6" t="s">
        <v>69</v>
      </c>
      <c r="N40" s="6" t="s">
        <v>70</v>
      </c>
    </row>
    <row collapsed="false" customFormat="false" customHeight="false" hidden="false" ht="15" outlineLevel="0" r="41">
      <c r="A41" s="2" t="s">
        <v>172</v>
      </c>
      <c r="B41" s="6" t="s">
        <v>179</v>
      </c>
      <c r="C41" s="2" t="s">
        <v>14</v>
      </c>
      <c r="D41" s="6" t="s">
        <v>33</v>
      </c>
      <c r="E41" s="2" t="n">
        <f aca="false">CONCATENATE(G41)</f>
        <v>0</v>
      </c>
      <c r="F41" s="6" t="s">
        <v>180</v>
      </c>
      <c r="G41" s="2" t="s">
        <v>167</v>
      </c>
      <c r="H41" s="6" t="n">
        <v>75</v>
      </c>
      <c r="I41" s="6" t="n">
        <v>81</v>
      </c>
      <c r="J41" s="6" t="s">
        <v>181</v>
      </c>
      <c r="K41" s="2" t="n">
        <f aca="false">LEN(F41)</f>
        <v>7</v>
      </c>
      <c r="L41" s="6"/>
      <c r="M41" s="6" t="s">
        <v>69</v>
      </c>
      <c r="N41" s="6" t="s">
        <v>70</v>
      </c>
    </row>
    <row collapsed="false" customFormat="false" customHeight="false" hidden="false" ht="15" outlineLevel="0" r="42">
      <c r="A42" s="5"/>
      <c r="B42" s="2" t="s">
        <v>182</v>
      </c>
      <c r="C42" s="2" t="s">
        <v>14</v>
      </c>
      <c r="D42" s="6" t="s">
        <v>33</v>
      </c>
      <c r="E42" s="2" t="n">
        <f aca="false">CONCATENATE(G42)</f>
        <v>0</v>
      </c>
      <c r="F42" s="6" t="s">
        <v>183</v>
      </c>
      <c r="G42" s="2" t="s">
        <v>167</v>
      </c>
      <c r="H42" s="6" t="n">
        <v>208</v>
      </c>
      <c r="I42" s="6" t="n">
        <v>222</v>
      </c>
      <c r="J42" s="6" t="s">
        <v>184</v>
      </c>
      <c r="K42" s="2" t="n">
        <f aca="false">LEN(F42)</f>
        <v>15</v>
      </c>
      <c r="L42" s="6"/>
      <c r="M42" s="6" t="s">
        <v>79</v>
      </c>
      <c r="N42" s="6" t="s">
        <v>185</v>
      </c>
    </row>
    <row collapsed="false" customFormat="false" customHeight="false" hidden="false" ht="15" outlineLevel="0" r="43">
      <c r="A43" s="5"/>
      <c r="B43" s="6" t="s">
        <v>186</v>
      </c>
      <c r="C43" s="2" t="s">
        <v>14</v>
      </c>
      <c r="D43" s="6" t="s">
        <v>33</v>
      </c>
      <c r="E43" s="2" t="n">
        <f aca="false">CONCATENATE(G43)</f>
        <v>0</v>
      </c>
      <c r="F43" s="6" t="s">
        <v>187</v>
      </c>
      <c r="G43" s="2" t="s">
        <v>167</v>
      </c>
      <c r="H43" s="6" t="n">
        <v>208</v>
      </c>
      <c r="I43" s="6" t="n">
        <v>224</v>
      </c>
      <c r="J43" s="6" t="s">
        <v>188</v>
      </c>
      <c r="K43" s="2" t="n">
        <f aca="false">LEN(F43)</f>
        <v>17</v>
      </c>
      <c r="L43" s="6"/>
      <c r="M43" s="6" t="s">
        <v>79</v>
      </c>
      <c r="N43" s="6" t="s">
        <v>189</v>
      </c>
    </row>
    <row collapsed="false" customFormat="false" customHeight="false" hidden="false" ht="15" outlineLevel="0" r="44">
      <c r="A44" s="5"/>
      <c r="B44" s="6" t="s">
        <v>190</v>
      </c>
      <c r="C44" s="2" t="s">
        <v>14</v>
      </c>
      <c r="D44" s="6" t="s">
        <v>33</v>
      </c>
      <c r="E44" s="2" t="n">
        <f aca="false">CONCATENATE(G44)</f>
        <v>0</v>
      </c>
      <c r="F44" s="7" t="s">
        <v>191</v>
      </c>
      <c r="G44" s="2" t="s">
        <v>167</v>
      </c>
      <c r="H44" s="6" t="n">
        <v>129</v>
      </c>
      <c r="I44" s="6" t="n">
        <v>136</v>
      </c>
      <c r="J44" s="6" t="s">
        <v>192</v>
      </c>
      <c r="K44" s="2" t="n">
        <f aca="false">LEN(F44)</f>
        <v>8</v>
      </c>
      <c r="L44" s="6"/>
      <c r="M44" s="6" t="s">
        <v>193</v>
      </c>
      <c r="N44" s="2" t="s">
        <v>194</v>
      </c>
    </row>
    <row collapsed="false" customFormat="false" customHeight="false" hidden="false" ht="15" outlineLevel="0" r="45">
      <c r="B45" s="2" t="s">
        <v>195</v>
      </c>
      <c r="C45" s="2" t="s">
        <v>14</v>
      </c>
      <c r="D45" s="2" t="s">
        <v>33</v>
      </c>
      <c r="E45" s="2" t="n">
        <f aca="false">CONCATENATE(G45)</f>
        <v>0</v>
      </c>
      <c r="F45" s="2" t="s">
        <v>196</v>
      </c>
      <c r="G45" s="2" t="s">
        <v>167</v>
      </c>
      <c r="H45" s="2" t="n">
        <v>41</v>
      </c>
      <c r="I45" s="2" t="n">
        <v>45</v>
      </c>
      <c r="J45" s="2" t="s">
        <v>197</v>
      </c>
      <c r="K45" s="2" t="n">
        <f aca="false">LEN(F45)</f>
        <v>5</v>
      </c>
      <c r="M45" s="2" t="s">
        <v>198</v>
      </c>
      <c r="N45" s="2" t="s">
        <v>199</v>
      </c>
    </row>
    <row collapsed="false" customFormat="false" customHeight="false" hidden="false" ht="15" outlineLevel="0" r="46">
      <c r="A46" s="10"/>
      <c r="B46" s="2" t="s">
        <v>200</v>
      </c>
      <c r="C46" s="2" t="s">
        <v>14</v>
      </c>
      <c r="D46" s="2" t="s">
        <v>106</v>
      </c>
      <c r="E46" s="2" t="n">
        <f aca="false">CONCATENATE(G46)</f>
        <v>0</v>
      </c>
      <c r="F46" s="2" t="s">
        <v>201</v>
      </c>
      <c r="G46" s="2" t="s">
        <v>202</v>
      </c>
      <c r="H46" s="2" t="n">
        <v>110</v>
      </c>
      <c r="I46" s="2" t="n">
        <v>115</v>
      </c>
      <c r="J46" s="2" t="s">
        <v>203</v>
      </c>
      <c r="K46" s="2" t="n">
        <f aca="false">LEN(F46)</f>
        <v>6</v>
      </c>
      <c r="M46" s="2" t="s">
        <v>97</v>
      </c>
      <c r="N46" s="2" t="s">
        <v>110</v>
      </c>
    </row>
    <row collapsed="false" customFormat="false" customHeight="false" hidden="false" ht="15" outlineLevel="0" r="47">
      <c r="A47" s="10"/>
      <c r="B47" s="2" t="s">
        <v>204</v>
      </c>
      <c r="C47" s="2" t="s">
        <v>14</v>
      </c>
      <c r="D47" s="2" t="s">
        <v>106</v>
      </c>
      <c r="E47" s="2" t="n">
        <f aca="false">CONCATENATE(G47)</f>
        <v>0</v>
      </c>
      <c r="F47" s="2" t="s">
        <v>205</v>
      </c>
      <c r="G47" s="2" t="s">
        <v>202</v>
      </c>
      <c r="H47" s="2" t="n">
        <v>110</v>
      </c>
      <c r="I47" s="2" t="n">
        <v>116</v>
      </c>
      <c r="J47" s="2" t="s">
        <v>206</v>
      </c>
      <c r="K47" s="2" t="n">
        <f aca="false">LEN(F47)</f>
        <v>7</v>
      </c>
      <c r="M47" s="2" t="s">
        <v>97</v>
      </c>
      <c r="N47" s="2" t="s">
        <v>110</v>
      </c>
    </row>
    <row collapsed="false" customFormat="false" customHeight="false" hidden="false" ht="15" outlineLevel="0" r="48">
      <c r="A48" s="9"/>
      <c r="B48" s="2" t="s">
        <v>207</v>
      </c>
      <c r="C48" s="2" t="s">
        <v>14</v>
      </c>
      <c r="D48" s="2" t="s">
        <v>33</v>
      </c>
      <c r="E48" s="2" t="n">
        <f aca="false">CONCATENATE(G48)</f>
        <v>0</v>
      </c>
      <c r="F48" s="2" t="s">
        <v>208</v>
      </c>
      <c r="G48" s="2" t="s">
        <v>167</v>
      </c>
      <c r="H48" s="2" t="n">
        <v>123</v>
      </c>
      <c r="I48" s="2" t="n">
        <v>128</v>
      </c>
      <c r="J48" s="2" t="s">
        <v>209</v>
      </c>
      <c r="K48" s="2" t="n">
        <f aca="false">LEN(F48)</f>
        <v>6</v>
      </c>
      <c r="M48" s="2" t="s">
        <v>97</v>
      </c>
      <c r="N48" s="2" t="s">
        <v>75</v>
      </c>
    </row>
    <row collapsed="false" customFormat="false" customHeight="false" hidden="false" ht="15" outlineLevel="0" r="49">
      <c r="A49" s="5"/>
      <c r="B49" s="2" t="s">
        <v>210</v>
      </c>
      <c r="C49" s="2" t="s">
        <v>14</v>
      </c>
      <c r="D49" s="6" t="s">
        <v>33</v>
      </c>
      <c r="E49" s="2" t="n">
        <f aca="false">CONCATENATE(G49)</f>
        <v>0</v>
      </c>
      <c r="F49" s="6" t="s">
        <v>211</v>
      </c>
      <c r="G49" s="2" t="s">
        <v>167</v>
      </c>
      <c r="H49" s="6" t="n">
        <v>214</v>
      </c>
      <c r="I49" s="6" t="n">
        <v>224</v>
      </c>
      <c r="J49" s="6" t="s">
        <v>212</v>
      </c>
      <c r="K49" s="2" t="n">
        <f aca="false">LEN(F49)</f>
        <v>11</v>
      </c>
      <c r="L49" s="6"/>
      <c r="M49" s="6" t="s">
        <v>97</v>
      </c>
      <c r="N49" s="6" t="s">
        <v>213</v>
      </c>
    </row>
    <row collapsed="false" customFormat="false" customHeight="false" hidden="false" ht="15" outlineLevel="0" r="50">
      <c r="A50" s="10"/>
      <c r="B50" s="2" t="s">
        <v>214</v>
      </c>
      <c r="C50" s="2" t="s">
        <v>14</v>
      </c>
      <c r="D50" s="2" t="s">
        <v>106</v>
      </c>
      <c r="E50" s="2" t="n">
        <f aca="false">CONCATENATE(G50)</f>
        <v>0</v>
      </c>
      <c r="F50" s="2" t="s">
        <v>215</v>
      </c>
      <c r="G50" s="2" t="s">
        <v>202</v>
      </c>
      <c r="H50" s="2" t="n">
        <v>62</v>
      </c>
      <c r="I50" s="2" t="n">
        <v>66</v>
      </c>
      <c r="J50" s="2" t="s">
        <v>216</v>
      </c>
      <c r="K50" s="2" t="n">
        <f aca="false">LEN(F50)</f>
        <v>5</v>
      </c>
      <c r="M50" s="2" t="s">
        <v>97</v>
      </c>
      <c r="N50" s="2" t="s">
        <v>110</v>
      </c>
    </row>
    <row collapsed="false" customFormat="false" customHeight="false" hidden="false" ht="15" outlineLevel="0" r="51">
      <c r="A51" s="5"/>
      <c r="B51" s="2" t="s">
        <v>217</v>
      </c>
      <c r="C51" s="2" t="s">
        <v>14</v>
      </c>
      <c r="D51" s="2" t="s">
        <v>33</v>
      </c>
      <c r="E51" s="2" t="n">
        <f aca="false">CONCATENATE(G51)</f>
        <v>0</v>
      </c>
      <c r="F51" s="2" t="s">
        <v>218</v>
      </c>
      <c r="G51" s="2" t="s">
        <v>167</v>
      </c>
      <c r="H51" s="2" t="n">
        <v>89</v>
      </c>
      <c r="I51" s="2" t="n">
        <v>91</v>
      </c>
      <c r="J51" s="2" t="s">
        <v>219</v>
      </c>
      <c r="K51" s="2" t="n">
        <f aca="false">LEN(F51)</f>
        <v>3</v>
      </c>
      <c r="M51" s="2" t="s">
        <v>97</v>
      </c>
      <c r="N51" s="2" t="s">
        <v>213</v>
      </c>
    </row>
    <row collapsed="false" customFormat="false" customHeight="false" hidden="false" ht="15" outlineLevel="0" r="52">
      <c r="A52" s="5"/>
      <c r="B52" s="2" t="s">
        <v>220</v>
      </c>
      <c r="C52" s="2" t="s">
        <v>14</v>
      </c>
      <c r="D52" s="2" t="s">
        <v>33</v>
      </c>
      <c r="E52" s="2" t="n">
        <f aca="false">CONCATENATE(G52)</f>
        <v>0</v>
      </c>
      <c r="F52" s="2" t="s">
        <v>221</v>
      </c>
      <c r="G52" s="2" t="s">
        <v>167</v>
      </c>
      <c r="H52" s="2" t="n">
        <v>99</v>
      </c>
      <c r="I52" s="2" t="n">
        <v>101</v>
      </c>
      <c r="J52" s="2" t="s">
        <v>222</v>
      </c>
      <c r="K52" s="2" t="n">
        <f aca="false">LEN(F52)</f>
        <v>3</v>
      </c>
      <c r="M52" s="2" t="s">
        <v>97</v>
      </c>
      <c r="N52" s="2" t="s">
        <v>213</v>
      </c>
    </row>
    <row collapsed="false" customFormat="false" customHeight="false" hidden="false" ht="15" outlineLevel="0" r="53">
      <c r="A53" s="5"/>
      <c r="B53" s="2" t="s">
        <v>223</v>
      </c>
      <c r="C53" s="2" t="s">
        <v>14</v>
      </c>
      <c r="D53" s="6" t="s">
        <v>33</v>
      </c>
      <c r="E53" s="2" t="n">
        <f aca="false">CONCATENATE(G53)</f>
        <v>0</v>
      </c>
      <c r="F53" s="6" t="s">
        <v>224</v>
      </c>
      <c r="G53" s="2" t="s">
        <v>167</v>
      </c>
      <c r="H53" s="6" t="n">
        <v>16</v>
      </c>
      <c r="I53" s="6" t="n">
        <v>39</v>
      </c>
      <c r="J53" s="11" t="s">
        <v>225</v>
      </c>
      <c r="K53" s="2" t="n">
        <f aca="false">LEN(F53)</f>
        <v>24</v>
      </c>
      <c r="L53" s="6"/>
      <c r="M53" s="6" t="s">
        <v>226</v>
      </c>
      <c r="N53" s="6" t="s">
        <v>70</v>
      </c>
    </row>
    <row collapsed="false" customFormat="false" customHeight="false" hidden="false" ht="15" outlineLevel="0" r="54">
      <c r="B54" s="2" t="s">
        <v>227</v>
      </c>
      <c r="C54" s="2" t="s">
        <v>228</v>
      </c>
      <c r="D54" s="2" t="s">
        <v>33</v>
      </c>
      <c r="E54" s="2" t="n">
        <f aca="false">CONCATENATE(G54)</f>
        <v>0</v>
      </c>
      <c r="F54" s="2" t="s">
        <v>229</v>
      </c>
      <c r="G54" s="2" t="s">
        <v>230</v>
      </c>
      <c r="H54" s="2" t="n">
        <v>118</v>
      </c>
      <c r="I54" s="2" t="n">
        <v>119</v>
      </c>
      <c r="J54" s="2" t="s">
        <v>231</v>
      </c>
      <c r="K54" s="2" t="n">
        <f aca="false">LEN(F54)</f>
        <v>2</v>
      </c>
      <c r="M54" s="2" t="s">
        <v>115</v>
      </c>
      <c r="N54" s="2" t="s">
        <v>232</v>
      </c>
    </row>
    <row collapsed="false" customFormat="false" customHeight="false" hidden="false" ht="15" outlineLevel="0" r="55">
      <c r="B55" s="2" t="s">
        <v>233</v>
      </c>
      <c r="C55" s="2" t="s">
        <v>228</v>
      </c>
      <c r="D55" s="2" t="s">
        <v>33</v>
      </c>
      <c r="E55" s="2" t="n">
        <f aca="false">CONCATENATE(G55)</f>
        <v>0</v>
      </c>
      <c r="F55" s="2" t="s">
        <v>234</v>
      </c>
      <c r="G55" s="2" t="s">
        <v>230</v>
      </c>
      <c r="H55" s="2" t="n">
        <v>120</v>
      </c>
      <c r="I55" s="2" t="n">
        <v>121</v>
      </c>
      <c r="J55" s="2" t="s">
        <v>235</v>
      </c>
      <c r="K55" s="2" t="n">
        <f aca="false">LEN(F55)</f>
        <v>2</v>
      </c>
      <c r="M55" s="2" t="s">
        <v>115</v>
      </c>
      <c r="N55" s="2" t="s">
        <v>232</v>
      </c>
    </row>
    <row collapsed="false" customFormat="false" customHeight="false" hidden="false" ht="15" outlineLevel="0" r="56">
      <c r="B56" s="2" t="s">
        <v>236</v>
      </c>
      <c r="C56" s="2" t="s">
        <v>228</v>
      </c>
      <c r="D56" s="2" t="s">
        <v>33</v>
      </c>
      <c r="E56" s="2" t="n">
        <f aca="false">CONCATENATE(G56)</f>
        <v>0</v>
      </c>
      <c r="F56" s="2" t="s">
        <v>237</v>
      </c>
      <c r="G56" s="2" t="s">
        <v>230</v>
      </c>
      <c r="H56" s="2" t="n">
        <v>158</v>
      </c>
      <c r="I56" s="2" t="n">
        <v>164</v>
      </c>
      <c r="J56" s="2" t="s">
        <v>238</v>
      </c>
      <c r="K56" s="2" t="n">
        <f aca="false">LEN(F56)</f>
        <v>7</v>
      </c>
      <c r="M56" s="2" t="s">
        <v>115</v>
      </c>
      <c r="N56" s="2" t="s">
        <v>239</v>
      </c>
    </row>
    <row collapsed="false" customFormat="false" customHeight="false" hidden="false" ht="15" outlineLevel="0" r="57">
      <c r="B57" s="2" t="s">
        <v>240</v>
      </c>
      <c r="C57" s="2" t="s">
        <v>228</v>
      </c>
      <c r="D57" s="2" t="s">
        <v>33</v>
      </c>
      <c r="E57" s="2" t="n">
        <f aca="false">CONCATENATE(G57)</f>
        <v>0</v>
      </c>
      <c r="F57" s="2" t="s">
        <v>241</v>
      </c>
      <c r="G57" s="2" t="s">
        <v>230</v>
      </c>
      <c r="H57" s="2" t="n">
        <v>87</v>
      </c>
      <c r="I57" s="2" t="n">
        <v>91</v>
      </c>
      <c r="J57" s="2" t="s">
        <v>242</v>
      </c>
      <c r="K57" s="2" t="n">
        <f aca="false">LEN(F57)</f>
        <v>5</v>
      </c>
      <c r="M57" s="2" t="s">
        <v>243</v>
      </c>
      <c r="N57" s="2" t="s">
        <v>244</v>
      </c>
    </row>
    <row collapsed="false" customFormat="false" customHeight="false" hidden="false" ht="15" outlineLevel="0" r="58">
      <c r="A58" s="12"/>
      <c r="B58" s="2" t="s">
        <v>245</v>
      </c>
      <c r="C58" s="2" t="s">
        <v>228</v>
      </c>
      <c r="D58" s="2" t="s">
        <v>33</v>
      </c>
      <c r="E58" s="2" t="n">
        <f aca="false">CONCATENATE(G58)</f>
        <v>0</v>
      </c>
      <c r="F58" s="2" t="s">
        <v>246</v>
      </c>
      <c r="G58" s="2" t="s">
        <v>230</v>
      </c>
      <c r="H58" s="2" t="n">
        <v>118</v>
      </c>
      <c r="I58" s="2" t="n">
        <v>121</v>
      </c>
      <c r="J58" s="2" t="s">
        <v>247</v>
      </c>
      <c r="K58" s="2" t="n">
        <f aca="false">LEN(F58)</f>
        <v>4</v>
      </c>
      <c r="M58" s="2" t="s">
        <v>69</v>
      </c>
      <c r="N58" s="2" t="s">
        <v>248</v>
      </c>
    </row>
    <row collapsed="false" customFormat="false" customHeight="false" hidden="false" ht="15" outlineLevel="0" r="59">
      <c r="B59" s="2" t="s">
        <v>249</v>
      </c>
      <c r="C59" s="2" t="s">
        <v>228</v>
      </c>
      <c r="D59" s="2" t="s">
        <v>33</v>
      </c>
      <c r="E59" s="2" t="n">
        <f aca="false">CONCATENATE(G59)</f>
        <v>0</v>
      </c>
      <c r="F59" s="2" t="s">
        <v>250</v>
      </c>
      <c r="G59" s="2" t="s">
        <v>230</v>
      </c>
      <c r="H59" s="2" t="n">
        <v>162</v>
      </c>
      <c r="I59" s="2" t="n">
        <v>165</v>
      </c>
      <c r="J59" s="2" t="s">
        <v>251</v>
      </c>
      <c r="K59" s="2" t="n">
        <f aca="false">LEN(F59)</f>
        <v>4</v>
      </c>
      <c r="M59" s="2" t="s">
        <v>69</v>
      </c>
      <c r="N59" s="2" t="s">
        <v>63</v>
      </c>
    </row>
    <row collapsed="false" customFormat="false" customHeight="false" hidden="false" ht="15" outlineLevel="0" r="60">
      <c r="A60" s="5"/>
      <c r="B60" s="2" t="s">
        <v>252</v>
      </c>
      <c r="C60" s="2" t="s">
        <v>253</v>
      </c>
      <c r="D60" s="2" t="s">
        <v>33</v>
      </c>
      <c r="E60" s="2" t="n">
        <f aca="false">CONCATENATE(G60)</f>
        <v>0</v>
      </c>
      <c r="F60" s="2" t="s">
        <v>254</v>
      </c>
      <c r="G60" s="2" t="s">
        <v>255</v>
      </c>
      <c r="H60" s="2" t="n">
        <v>127</v>
      </c>
      <c r="I60" s="2" t="n">
        <v>137</v>
      </c>
      <c r="J60" s="2" t="s">
        <v>256</v>
      </c>
      <c r="K60" s="2" t="n">
        <f aca="false">LEN(F60)</f>
        <v>11</v>
      </c>
      <c r="M60" s="2" t="s">
        <v>257</v>
      </c>
      <c r="N60" s="2" t="s">
        <v>258</v>
      </c>
    </row>
    <row collapsed="false" customFormat="false" customHeight="false" hidden="false" ht="15" outlineLevel="0" r="61">
      <c r="A61" s="5"/>
      <c r="B61" s="2" t="s">
        <v>259</v>
      </c>
      <c r="C61" s="2" t="s">
        <v>253</v>
      </c>
      <c r="D61" s="2" t="s">
        <v>33</v>
      </c>
      <c r="E61" s="2" t="n">
        <f aca="false">CONCATENATE(G61)</f>
        <v>0</v>
      </c>
      <c r="F61" s="2" t="s">
        <v>260</v>
      </c>
      <c r="G61" s="2" t="s">
        <v>255</v>
      </c>
      <c r="H61" s="2" t="n">
        <v>54</v>
      </c>
      <c r="I61" s="2" t="n">
        <v>59</v>
      </c>
      <c r="J61" s="2" t="s">
        <v>261</v>
      </c>
      <c r="K61" s="2" t="n">
        <f aca="false">LEN(F61)</f>
        <v>6</v>
      </c>
      <c r="M61" s="2" t="s">
        <v>50</v>
      </c>
      <c r="N61" s="2" t="s">
        <v>262</v>
      </c>
    </row>
    <row collapsed="false" customFormat="false" customHeight="false" hidden="false" ht="15" outlineLevel="0" r="62">
      <c r="A62" s="13"/>
      <c r="B62" s="2" t="s">
        <v>263</v>
      </c>
      <c r="C62" s="2" t="s">
        <v>253</v>
      </c>
      <c r="D62" s="2" t="s">
        <v>33</v>
      </c>
      <c r="E62" s="2" t="n">
        <f aca="false">CONCATENATE(G62)</f>
        <v>0</v>
      </c>
      <c r="F62" s="2" t="s">
        <v>264</v>
      </c>
      <c r="G62" s="2" t="s">
        <v>255</v>
      </c>
      <c r="H62" s="2" t="n">
        <v>56</v>
      </c>
      <c r="I62" s="2" t="n">
        <v>62</v>
      </c>
      <c r="J62" s="2" t="s">
        <v>265</v>
      </c>
      <c r="K62" s="2" t="n">
        <f aca="false">LEN(F62)</f>
        <v>7</v>
      </c>
      <c r="M62" s="2" t="s">
        <v>266</v>
      </c>
      <c r="N62" s="2" t="s">
        <v>262</v>
      </c>
    </row>
    <row collapsed="false" customFormat="false" customHeight="false" hidden="false" ht="15" outlineLevel="0" r="63">
      <c r="A63" s="10"/>
      <c r="B63" s="2" t="s">
        <v>267</v>
      </c>
      <c r="C63" s="2" t="s">
        <v>253</v>
      </c>
      <c r="D63" s="2" t="s">
        <v>33</v>
      </c>
      <c r="E63" s="2" t="n">
        <f aca="false">CONCATENATE(G63)</f>
        <v>0</v>
      </c>
      <c r="F63" s="2" t="s">
        <v>268</v>
      </c>
      <c r="G63" s="2" t="s">
        <v>255</v>
      </c>
      <c r="H63" s="2" t="n">
        <v>79</v>
      </c>
      <c r="I63" s="2" t="n">
        <v>82</v>
      </c>
      <c r="J63" s="2" t="s">
        <v>109</v>
      </c>
      <c r="K63" s="2" t="n">
        <f aca="false">LEN(F63)</f>
        <v>4</v>
      </c>
      <c r="M63" s="2" t="s">
        <v>50</v>
      </c>
      <c r="N63" s="2" t="s">
        <v>262</v>
      </c>
    </row>
    <row collapsed="false" customFormat="false" customHeight="false" hidden="false" ht="15" outlineLevel="0" r="64">
      <c r="A64" s="5"/>
      <c r="B64" s="2" t="s">
        <v>269</v>
      </c>
      <c r="C64" s="2" t="s">
        <v>253</v>
      </c>
      <c r="D64" s="2" t="s">
        <v>33</v>
      </c>
      <c r="E64" s="2" t="n">
        <f aca="false">CONCATENATE(G64)</f>
        <v>0</v>
      </c>
      <c r="F64" s="2" t="s">
        <v>270</v>
      </c>
      <c r="G64" s="2" t="s">
        <v>255</v>
      </c>
      <c r="H64" s="2" t="n">
        <v>46</v>
      </c>
      <c r="I64" s="2" t="n">
        <v>55</v>
      </c>
      <c r="J64" s="2" t="s">
        <v>271</v>
      </c>
      <c r="K64" s="2" t="n">
        <f aca="false">LEN(F64)</f>
        <v>10</v>
      </c>
      <c r="M64" s="2" t="s">
        <v>266</v>
      </c>
      <c r="N64" s="2" t="s">
        <v>262</v>
      </c>
    </row>
    <row collapsed="false" customFormat="false" customHeight="false" hidden="false" ht="15" outlineLevel="0" r="65">
      <c r="A65" s="5"/>
      <c r="B65" s="2" t="s">
        <v>272</v>
      </c>
      <c r="C65" s="2" t="s">
        <v>253</v>
      </c>
      <c r="D65" s="2" t="s">
        <v>33</v>
      </c>
      <c r="E65" s="2" t="n">
        <f aca="false">CONCATENATE(G65)</f>
        <v>0</v>
      </c>
      <c r="F65" s="2" t="s">
        <v>273</v>
      </c>
      <c r="G65" s="2" t="s">
        <v>255</v>
      </c>
      <c r="H65" s="2" t="n">
        <v>127</v>
      </c>
      <c r="I65" s="2" t="n">
        <v>190</v>
      </c>
      <c r="J65" s="2" t="s">
        <v>274</v>
      </c>
      <c r="K65" s="2" t="n">
        <f aca="false">LEN(F65)</f>
        <v>64</v>
      </c>
      <c r="M65" s="2" t="s">
        <v>79</v>
      </c>
      <c r="N65" s="2" t="s">
        <v>275</v>
      </c>
    </row>
    <row collapsed="false" customFormat="false" customHeight="false" hidden="false" ht="15" outlineLevel="0" r="66">
      <c r="A66" s="5"/>
      <c r="B66" s="2" t="s">
        <v>276</v>
      </c>
      <c r="C66" s="2" t="s">
        <v>253</v>
      </c>
      <c r="D66" s="2" t="s">
        <v>33</v>
      </c>
      <c r="E66" s="2" t="n">
        <f aca="false">CONCATENATE(G66)</f>
        <v>0</v>
      </c>
      <c r="F66" s="6" t="s">
        <v>277</v>
      </c>
      <c r="G66" s="2" t="s">
        <v>255</v>
      </c>
      <c r="H66" s="6" t="n">
        <v>37</v>
      </c>
      <c r="I66" s="6" t="n">
        <v>42</v>
      </c>
      <c r="J66" s="6" t="s">
        <v>278</v>
      </c>
      <c r="K66" s="2" t="n">
        <f aca="false">LEN(F66)</f>
        <v>5</v>
      </c>
      <c r="L66" s="6"/>
      <c r="M66" s="6" t="s">
        <v>279</v>
      </c>
      <c r="N66" s="6" t="s">
        <v>280</v>
      </c>
    </row>
    <row collapsed="false" customFormat="true" customHeight="false" hidden="false" ht="15" outlineLevel="0" r="67" s="9">
      <c r="B67" s="2" t="s">
        <v>281</v>
      </c>
      <c r="C67" s="2" t="s">
        <v>253</v>
      </c>
      <c r="D67" s="2" t="s">
        <v>33</v>
      </c>
      <c r="E67" s="2" t="n">
        <f aca="false">CONCATENATE(G67)</f>
        <v>0</v>
      </c>
      <c r="F67" s="2" t="s">
        <v>282</v>
      </c>
      <c r="G67" s="2" t="s">
        <v>255</v>
      </c>
      <c r="H67" s="2" t="n">
        <v>122</v>
      </c>
      <c r="I67" s="2" t="n">
        <v>126</v>
      </c>
      <c r="J67" s="2" t="s">
        <v>283</v>
      </c>
      <c r="K67" s="2" t="n">
        <f aca="false">LEN(F67)</f>
        <v>5</v>
      </c>
      <c r="L67" s="2"/>
      <c r="M67" s="2" t="s">
        <v>284</v>
      </c>
      <c r="N67" s="2" t="s">
        <v>285</v>
      </c>
    </row>
    <row collapsed="false" customFormat="false" customHeight="false" hidden="false" ht="15" outlineLevel="0" r="68">
      <c r="A68" s="5"/>
      <c r="B68" s="2" t="s">
        <v>286</v>
      </c>
      <c r="C68" s="2" t="s">
        <v>253</v>
      </c>
      <c r="D68" s="2" t="s">
        <v>33</v>
      </c>
      <c r="E68" s="2" t="n">
        <f aca="false">CONCATENATE(G68)</f>
        <v>0</v>
      </c>
      <c r="F68" s="2" t="s">
        <v>218</v>
      </c>
      <c r="G68" s="2" t="s">
        <v>255</v>
      </c>
      <c r="H68" s="2" t="n">
        <v>129</v>
      </c>
      <c r="I68" s="2" t="n">
        <v>131</v>
      </c>
      <c r="J68" s="2" t="s">
        <v>287</v>
      </c>
      <c r="K68" s="2" t="n">
        <f aca="false">LEN(F68)</f>
        <v>3</v>
      </c>
      <c r="M68" s="2" t="s">
        <v>97</v>
      </c>
      <c r="N68" s="2" t="s">
        <v>213</v>
      </c>
    </row>
    <row collapsed="false" customFormat="false" customHeight="false" hidden="false" ht="15" outlineLevel="0" r="69">
      <c r="B69" s="2" t="s">
        <v>288</v>
      </c>
      <c r="C69" s="2" t="s">
        <v>253</v>
      </c>
      <c r="D69" s="2" t="s">
        <v>15</v>
      </c>
      <c r="E69" s="2" t="n">
        <f aca="false">CONCATENATE(G69)</f>
        <v>0</v>
      </c>
      <c r="F69" s="2" t="s">
        <v>289</v>
      </c>
      <c r="G69" s="2" t="s">
        <v>290</v>
      </c>
      <c r="H69" s="2" t="n">
        <v>63</v>
      </c>
      <c r="I69" s="2" t="n">
        <v>117</v>
      </c>
      <c r="J69" s="2" t="s">
        <v>291</v>
      </c>
      <c r="K69" s="2" t="n">
        <f aca="false">LEN(F69)</f>
        <v>55</v>
      </c>
      <c r="M69" s="2" t="s">
        <v>292</v>
      </c>
      <c r="N69" s="2" t="s">
        <v>293</v>
      </c>
    </row>
  </sheetData>
  <autoFilter ref="A1:N69"/>
  <printOptions headings="false" gridLines="false" gridLinesSet="true" horizontalCentered="false" verticalCentered="false"/>
  <pageMargins left="0.75" right="0.75" top="1" bottom="1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H1" activeCellId="0" pane="topLeft" sqref="H1"/>
    </sheetView>
  </sheetViews>
  <sheetFormatPr defaultRowHeight="14.5"/>
  <cols>
    <col collapsed="false" hidden="true" max="1" min="1" style="0" width="0"/>
    <col collapsed="false" hidden="false" max="2" min="2" style="0" width="28"/>
    <col collapsed="false" hidden="false" max="3" min="3" style="0" width="66.1666666666667"/>
    <col collapsed="false" hidden="true" max="4" min="4" style="0" width="0"/>
    <col collapsed="false" hidden="false" max="1025" min="5" style="0" width="10.8333333333333"/>
  </cols>
  <sheetData>
    <row collapsed="false" customFormat="true" customHeight="true" hidden="false" ht="50" outlineLevel="0" r="1" s="1">
      <c r="A1" s="1" t="s">
        <v>0</v>
      </c>
      <c r="B1" s="1" t="s">
        <v>294</v>
      </c>
      <c r="C1" s="1" t="s">
        <v>4</v>
      </c>
      <c r="D1" s="1" t="s">
        <v>5</v>
      </c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collapsed="false" customFormat="false" customHeight="true" hidden="false" ht="21" outlineLevel="0" r="2">
      <c r="A2" s="5"/>
      <c r="B2" s="2" t="s">
        <v>295</v>
      </c>
      <c r="C2" s="2" t="s">
        <v>66</v>
      </c>
      <c r="D2" s="2" t="s">
        <v>67</v>
      </c>
    </row>
    <row collapsed="false" customFormat="false" customHeight="true" hidden="false" ht="23.25" outlineLevel="0" r="3">
      <c r="A3" s="5"/>
      <c r="B3" s="2" t="s">
        <v>71</v>
      </c>
      <c r="C3" s="2" t="s">
        <v>72</v>
      </c>
      <c r="D3" s="2" t="s">
        <v>67</v>
      </c>
    </row>
    <row collapsed="false" customFormat="false" customHeight="false" hidden="false" ht="14.5" outlineLevel="0" r="4">
      <c r="A4" s="5"/>
      <c r="B4" s="6" t="s">
        <v>165</v>
      </c>
      <c r="C4" s="6" t="s">
        <v>166</v>
      </c>
      <c r="D4" s="2" t="s">
        <v>167</v>
      </c>
    </row>
    <row collapsed="false" customFormat="false" customHeight="false" hidden="false" ht="14.5" outlineLevel="0" r="5">
      <c r="A5" s="9"/>
      <c r="B5" s="2" t="s">
        <v>169</v>
      </c>
      <c r="C5" s="2" t="s">
        <v>170</v>
      </c>
      <c r="D5" s="2" t="s">
        <v>167</v>
      </c>
    </row>
    <row collapsed="false" customFormat="false" customHeight="false" hidden="false" ht="14.5" outlineLevel="0" r="6">
      <c r="A6" s="2" t="s">
        <v>172</v>
      </c>
      <c r="B6" s="6" t="s">
        <v>173</v>
      </c>
      <c r="C6" s="6" t="s">
        <v>174</v>
      </c>
      <c r="D6" s="2" t="s">
        <v>167</v>
      </c>
    </row>
    <row collapsed="false" customFormat="false" customHeight="false" hidden="false" ht="14.5" outlineLevel="0" r="7">
      <c r="A7" s="2" t="s">
        <v>172</v>
      </c>
      <c r="B7" s="6" t="s">
        <v>176</v>
      </c>
      <c r="C7" s="6" t="s">
        <v>177</v>
      </c>
      <c r="D7" s="2" t="s">
        <v>167</v>
      </c>
    </row>
    <row collapsed="false" customFormat="false" customHeight="false" hidden="false" ht="14.5" outlineLevel="0" r="8">
      <c r="A8" s="2" t="s">
        <v>172</v>
      </c>
      <c r="B8" s="6" t="s">
        <v>179</v>
      </c>
      <c r="C8" s="6" t="s">
        <v>180</v>
      </c>
      <c r="D8" s="2" t="s">
        <v>167</v>
      </c>
    </row>
    <row collapsed="false" customFormat="false" customHeight="false" hidden="false" ht="14.5" outlineLevel="0" r="9">
      <c r="A9" s="5"/>
      <c r="B9" s="2" t="s">
        <v>182</v>
      </c>
      <c r="C9" s="6" t="s">
        <v>183</v>
      </c>
      <c r="D9" s="2" t="s">
        <v>167</v>
      </c>
    </row>
    <row collapsed="false" customFormat="false" customHeight="false" hidden="false" ht="14.5" outlineLevel="0" r="10">
      <c r="A10" s="5"/>
      <c r="B10" s="6" t="s">
        <v>186</v>
      </c>
      <c r="C10" s="6" t="s">
        <v>187</v>
      </c>
      <c r="D10" s="2" t="s">
        <v>167</v>
      </c>
    </row>
    <row collapsed="false" customFormat="false" customHeight="false" hidden="false" ht="14.5" outlineLevel="0" r="11">
      <c r="A11" s="6"/>
      <c r="B11" s="7" t="s">
        <v>296</v>
      </c>
      <c r="C11" s="7" t="s">
        <v>77</v>
      </c>
      <c r="D11" s="2" t="s">
        <v>67</v>
      </c>
    </row>
    <row collapsed="false" customFormat="false" customHeight="false" hidden="false" ht="14.5" outlineLevel="0" r="12">
      <c r="A12" s="6"/>
      <c r="B12" s="7" t="s">
        <v>297</v>
      </c>
      <c r="C12" s="7" t="s">
        <v>82</v>
      </c>
      <c r="D12" s="2" t="s">
        <v>67</v>
      </c>
    </row>
    <row collapsed="false" customFormat="false" customHeight="false" hidden="false" ht="14.5" outlineLevel="0" r="13">
      <c r="A13" s="5"/>
      <c r="B13" s="2" t="s">
        <v>298</v>
      </c>
      <c r="C13" s="2" t="s">
        <v>85</v>
      </c>
      <c r="D13" s="2" t="s">
        <v>67</v>
      </c>
    </row>
    <row collapsed="false" customFormat="false" customHeight="false" hidden="false" ht="14.5" outlineLevel="0" r="14">
      <c r="A14" s="5"/>
      <c r="B14" s="2" t="s">
        <v>121</v>
      </c>
      <c r="C14" s="2" t="s">
        <v>123</v>
      </c>
      <c r="D14" s="2" t="s">
        <v>124</v>
      </c>
    </row>
    <row collapsed="false" customFormat="false" customHeight="false" hidden="false" ht="14.5" outlineLevel="0" r="15">
      <c r="A15" s="5"/>
      <c r="B15" s="6" t="s">
        <v>190</v>
      </c>
      <c r="C15" s="7" t="s">
        <v>191</v>
      </c>
      <c r="D15" s="2" t="s">
        <v>167</v>
      </c>
    </row>
    <row collapsed="false" customFormat="false" customHeight="false" hidden="false" ht="14.5" outlineLevel="0" r="16">
      <c r="B16" s="2" t="s">
        <v>195</v>
      </c>
      <c r="C16" s="2" t="s">
        <v>196</v>
      </c>
      <c r="D16" s="2" t="s">
        <v>167</v>
      </c>
    </row>
    <row collapsed="false" customFormat="false" customHeight="false" hidden="false" ht="14.5" outlineLevel="0" r="17">
      <c r="A17" s="5"/>
      <c r="B17" s="2" t="s">
        <v>252</v>
      </c>
      <c r="C17" s="2" t="s">
        <v>254</v>
      </c>
      <c r="D17" s="2" t="s">
        <v>255</v>
      </c>
    </row>
    <row collapsed="false" customFormat="false" customHeight="false" hidden="false" ht="14.5" outlineLevel="0" r="18">
      <c r="A18" s="5"/>
      <c r="B18" s="2" t="s">
        <v>259</v>
      </c>
      <c r="C18" s="2" t="s">
        <v>260</v>
      </c>
      <c r="D18" s="2" t="s">
        <v>255</v>
      </c>
    </row>
    <row collapsed="false" customFormat="false" customHeight="false" hidden="false" ht="14.5" outlineLevel="0" r="19">
      <c r="A19" s="13"/>
      <c r="B19" s="2" t="s">
        <v>263</v>
      </c>
      <c r="C19" s="2" t="s">
        <v>264</v>
      </c>
      <c r="D19" s="2" t="s">
        <v>255</v>
      </c>
    </row>
    <row collapsed="false" customFormat="false" customHeight="false" hidden="false" ht="14.5" outlineLevel="0" r="20">
      <c r="A20" s="10"/>
      <c r="B20" s="2" t="s">
        <v>267</v>
      </c>
      <c r="C20" s="2" t="s">
        <v>268</v>
      </c>
      <c r="D20" s="2" t="s">
        <v>255</v>
      </c>
    </row>
    <row collapsed="false" customFormat="false" customHeight="false" hidden="false" ht="14.5" outlineLevel="0" r="21">
      <c r="A21" s="5"/>
      <c r="B21" s="2" t="s">
        <v>269</v>
      </c>
      <c r="C21" s="2" t="s">
        <v>270</v>
      </c>
      <c r="D21" s="2" t="s">
        <v>255</v>
      </c>
    </row>
    <row collapsed="false" customFormat="false" customHeight="false" hidden="false" ht="14.5" outlineLevel="0" r="22">
      <c r="A22" s="5"/>
      <c r="B22" s="2" t="s">
        <v>128</v>
      </c>
      <c r="C22" s="2" t="s">
        <v>129</v>
      </c>
      <c r="D22" s="2" t="s">
        <v>124</v>
      </c>
    </row>
    <row collapsed="false" customFormat="false" customHeight="false" hidden="false" ht="14.5" outlineLevel="0" r="23">
      <c r="A23" s="5"/>
      <c r="B23" s="2" t="s">
        <v>132</v>
      </c>
      <c r="C23" s="2" t="s">
        <v>133</v>
      </c>
      <c r="D23" s="2" t="s">
        <v>124</v>
      </c>
    </row>
    <row collapsed="false" customFormat="false" customHeight="false" hidden="false" ht="14.5" outlineLevel="0" r="24">
      <c r="A24" s="5"/>
      <c r="B24" s="2" t="s">
        <v>135</v>
      </c>
      <c r="C24" s="2" t="s">
        <v>136</v>
      </c>
      <c r="D24" s="2" t="s">
        <v>124</v>
      </c>
    </row>
    <row collapsed="false" customFormat="false" customHeight="false" hidden="false" ht="14.5" outlineLevel="0" r="25">
      <c r="A25" s="5"/>
      <c r="B25" s="2" t="s">
        <v>138</v>
      </c>
      <c r="C25" s="2" t="s">
        <v>139</v>
      </c>
      <c r="D25" s="2" t="s">
        <v>124</v>
      </c>
    </row>
    <row collapsed="false" customFormat="false" customHeight="false" hidden="false" ht="14.5" outlineLevel="0" r="26">
      <c r="A26" s="5"/>
      <c r="B26" s="2" t="s">
        <v>141</v>
      </c>
      <c r="C26" s="2" t="s">
        <v>142</v>
      </c>
      <c r="D26" s="2" t="s">
        <v>124</v>
      </c>
    </row>
    <row collapsed="false" customFormat="false" customHeight="false" hidden="false" ht="14.5" outlineLevel="0" r="27">
      <c r="A27" s="5"/>
      <c r="B27" s="2" t="s">
        <v>87</v>
      </c>
      <c r="C27" s="2" t="s">
        <v>88</v>
      </c>
      <c r="D27" s="2" t="s">
        <v>67</v>
      </c>
    </row>
    <row collapsed="false" customFormat="false" customHeight="false" hidden="false" ht="14.5" outlineLevel="0" r="28">
      <c r="B28" s="2" t="s">
        <v>25</v>
      </c>
      <c r="C28" s="2" t="s">
        <v>27</v>
      </c>
      <c r="D28" s="2" t="s">
        <v>28</v>
      </c>
    </row>
    <row collapsed="false" customFormat="false" customHeight="false" hidden="false" ht="14.5" outlineLevel="0" r="29">
      <c r="A29" s="5"/>
      <c r="B29" s="2" t="s">
        <v>272</v>
      </c>
      <c r="C29" s="2" t="s">
        <v>273</v>
      </c>
      <c r="D29" s="2" t="s">
        <v>255</v>
      </c>
    </row>
    <row collapsed="false" customFormat="false" customHeight="false" hidden="false" ht="14.5" outlineLevel="0" r="30">
      <c r="B30" s="2" t="s">
        <v>299</v>
      </c>
      <c r="C30" s="2" t="s">
        <v>34</v>
      </c>
      <c r="D30" s="2" t="s">
        <v>35</v>
      </c>
    </row>
    <row collapsed="false" customFormat="false" customHeight="false" hidden="false" ht="14.5" outlineLevel="0" r="31">
      <c r="B31" s="2" t="s">
        <v>300</v>
      </c>
      <c r="C31" s="2" t="s">
        <v>40</v>
      </c>
      <c r="D31" s="2" t="s">
        <v>35</v>
      </c>
    </row>
    <row collapsed="false" customFormat="false" customHeight="false" hidden="false" ht="14.5" outlineLevel="0" r="32">
      <c r="B32" s="2" t="s">
        <v>301</v>
      </c>
      <c r="C32" s="2" t="s">
        <v>44</v>
      </c>
      <c r="D32" s="2" t="s">
        <v>28</v>
      </c>
    </row>
    <row collapsed="false" customFormat="false" customHeight="false" hidden="false" ht="14.5" outlineLevel="0" r="33">
      <c r="B33" s="2" t="s">
        <v>47</v>
      </c>
      <c r="C33" s="2" t="s">
        <v>48</v>
      </c>
      <c r="D33" s="2" t="s">
        <v>28</v>
      </c>
    </row>
    <row collapsed="false" customFormat="false" customHeight="false" hidden="false" ht="14.5" outlineLevel="0" r="34">
      <c r="B34" s="2" t="s">
        <v>52</v>
      </c>
      <c r="C34" s="2" t="s">
        <v>53</v>
      </c>
      <c r="D34" s="2" t="s">
        <v>28</v>
      </c>
    </row>
    <row collapsed="false" customFormat="false" customHeight="false" hidden="false" ht="14.5" outlineLevel="0" r="35">
      <c r="B35" s="2" t="s">
        <v>55</v>
      </c>
      <c r="C35" s="2" t="s">
        <v>56</v>
      </c>
      <c r="D35" s="2" t="s">
        <v>28</v>
      </c>
    </row>
    <row collapsed="false" customFormat="false" customHeight="false" hidden="false" ht="14.5" outlineLevel="0" r="36">
      <c r="B36" s="2" t="s">
        <v>58</v>
      </c>
      <c r="C36" s="2" t="s">
        <v>60</v>
      </c>
      <c r="D36" s="2" t="s">
        <v>61</v>
      </c>
    </row>
    <row collapsed="false" customFormat="false" customHeight="false" hidden="false" ht="14.5" outlineLevel="0" r="37">
      <c r="A37" s="6"/>
      <c r="B37" s="2" t="s">
        <v>302</v>
      </c>
      <c r="C37" s="2" t="s">
        <v>91</v>
      </c>
      <c r="D37" s="2" t="s">
        <v>67</v>
      </c>
    </row>
    <row collapsed="false" customFormat="false" customHeight="false" hidden="false" ht="14.5" outlineLevel="0" r="38">
      <c r="A38" s="5"/>
      <c r="B38" s="2" t="s">
        <v>303</v>
      </c>
      <c r="C38" s="2" t="s">
        <v>95</v>
      </c>
      <c r="D38" s="2" t="s">
        <v>67</v>
      </c>
    </row>
    <row collapsed="false" customFormat="false" customHeight="false" hidden="false" ht="14.5" outlineLevel="0" r="39">
      <c r="A39" s="5"/>
      <c r="B39" s="2" t="s">
        <v>304</v>
      </c>
      <c r="C39" s="2" t="s">
        <v>100</v>
      </c>
      <c r="D39" s="2" t="s">
        <v>67</v>
      </c>
    </row>
    <row collapsed="false" customFormat="false" customHeight="false" hidden="false" ht="14.5" outlineLevel="0" r="40">
      <c r="A40" s="5"/>
      <c r="B40" s="2" t="s">
        <v>305</v>
      </c>
      <c r="C40" s="2" t="s">
        <v>103</v>
      </c>
      <c r="D40" s="2" t="s">
        <v>67</v>
      </c>
    </row>
    <row collapsed="false" customFormat="false" customHeight="false" hidden="false" ht="14.5" outlineLevel="0" r="41">
      <c r="A41" s="5"/>
      <c r="B41" s="2" t="s">
        <v>306</v>
      </c>
      <c r="C41" s="2" t="s">
        <v>107</v>
      </c>
      <c r="D41" s="2" t="s">
        <v>108</v>
      </c>
    </row>
    <row collapsed="false" customFormat="false" customHeight="false" hidden="false" ht="14.5" outlineLevel="0" r="42">
      <c r="A42" s="5"/>
      <c r="B42" s="2" t="s">
        <v>307</v>
      </c>
      <c r="C42" s="2" t="s">
        <v>112</v>
      </c>
      <c r="D42" s="2" t="s">
        <v>67</v>
      </c>
    </row>
    <row collapsed="false" customFormat="false" customHeight="false" hidden="false" ht="14.5" outlineLevel="0" r="43">
      <c r="A43" s="5"/>
      <c r="B43" s="2" t="s">
        <v>308</v>
      </c>
      <c r="C43" s="2" t="s">
        <v>118</v>
      </c>
      <c r="D43" s="2" t="s">
        <v>67</v>
      </c>
    </row>
    <row collapsed="false" customFormat="false" customHeight="false" hidden="false" ht="14.5" outlineLevel="0" r="44">
      <c r="A44" s="5"/>
      <c r="B44" s="2" t="s">
        <v>309</v>
      </c>
      <c r="C44" s="2" t="s">
        <v>145</v>
      </c>
      <c r="D44" s="2" t="s">
        <v>146</v>
      </c>
    </row>
    <row collapsed="false" customFormat="false" customHeight="false" hidden="false" ht="14.5" outlineLevel="0" r="45">
      <c r="A45" s="5"/>
      <c r="B45" s="2" t="s">
        <v>310</v>
      </c>
      <c r="C45" s="2" t="s">
        <v>149</v>
      </c>
      <c r="D45" s="2" t="s">
        <v>124</v>
      </c>
    </row>
    <row collapsed="false" customFormat="false" customHeight="false" hidden="false" ht="14.5" outlineLevel="0" r="46">
      <c r="A46" s="5"/>
      <c r="B46" s="2" t="s">
        <v>311</v>
      </c>
      <c r="C46" s="2" t="s">
        <v>153</v>
      </c>
      <c r="D46" s="2" t="s">
        <v>124</v>
      </c>
    </row>
    <row collapsed="false" customFormat="false" customHeight="false" hidden="false" ht="14.5" outlineLevel="0" r="47">
      <c r="A47" s="5"/>
      <c r="B47" s="2" t="s">
        <v>312</v>
      </c>
      <c r="C47" s="2" t="s">
        <v>157</v>
      </c>
      <c r="D47" s="2" t="s">
        <v>124</v>
      </c>
    </row>
    <row collapsed="false" customFormat="false" customHeight="false" hidden="false" ht="14.5" outlineLevel="0" r="48">
      <c r="A48" s="5"/>
      <c r="B48" s="2" t="s">
        <v>313</v>
      </c>
      <c r="C48" s="2" t="s">
        <v>160</v>
      </c>
      <c r="D48" s="2" t="s">
        <v>124</v>
      </c>
    </row>
    <row collapsed="false" customFormat="false" customHeight="false" hidden="false" ht="14.5" outlineLevel="0" r="49">
      <c r="A49" s="5"/>
      <c r="B49" s="2" t="s">
        <v>314</v>
      </c>
      <c r="C49" s="2" t="s">
        <v>163</v>
      </c>
      <c r="D49" s="2" t="s">
        <v>124</v>
      </c>
    </row>
    <row collapsed="false" customFormat="false" customHeight="false" hidden="false" ht="14.5" outlineLevel="0" r="50">
      <c r="A50" s="10"/>
      <c r="B50" s="2" t="s">
        <v>315</v>
      </c>
      <c r="C50" s="2" t="s">
        <v>201</v>
      </c>
      <c r="D50" s="2" t="s">
        <v>202</v>
      </c>
    </row>
    <row collapsed="false" customFormat="false" customHeight="false" hidden="false" ht="14.5" outlineLevel="0" r="51">
      <c r="A51" s="10"/>
      <c r="B51" s="2" t="s">
        <v>316</v>
      </c>
      <c r="C51" s="2" t="s">
        <v>205</v>
      </c>
      <c r="D51" s="2" t="s">
        <v>202</v>
      </c>
    </row>
    <row collapsed="false" customFormat="false" customHeight="false" hidden="false" ht="15.65" outlineLevel="0" r="52">
      <c r="B52" s="2" t="s">
        <v>317</v>
      </c>
      <c r="C52" s="1" t="s">
        <v>21</v>
      </c>
    </row>
    <row collapsed="false" customFormat="false" customHeight="false" hidden="false" ht="14.5" outlineLevel="0" r="53">
      <c r="A53" s="9"/>
      <c r="B53" s="2" t="s">
        <v>318</v>
      </c>
      <c r="C53" s="2" t="s">
        <v>208</v>
      </c>
      <c r="D53" s="2" t="s">
        <v>167</v>
      </c>
    </row>
    <row collapsed="false" customFormat="false" customHeight="false" hidden="false" ht="15.65" outlineLevel="0" r="54">
      <c r="B54" s="2" t="s">
        <v>319</v>
      </c>
      <c r="C54" s="1" t="s">
        <v>16</v>
      </c>
    </row>
    <row collapsed="false" customFormat="false" customHeight="false" hidden="false" ht="14.5" outlineLevel="0" r="55">
      <c r="A55" s="5"/>
      <c r="B55" s="2" t="s">
        <v>320</v>
      </c>
      <c r="C55" s="6" t="s">
        <v>211</v>
      </c>
      <c r="D55" s="2" t="s">
        <v>167</v>
      </c>
    </row>
    <row collapsed="false" customFormat="false" customHeight="false" hidden="false" ht="14.5" outlineLevel="0" r="56">
      <c r="A56" s="10"/>
      <c r="B56" s="2" t="s">
        <v>321</v>
      </c>
      <c r="C56" s="2" t="s">
        <v>215</v>
      </c>
      <c r="D56" s="2" t="s">
        <v>202</v>
      </c>
    </row>
    <row collapsed="false" customFormat="false" customHeight="false" hidden="false" ht="14.5" outlineLevel="0" r="57">
      <c r="A57" s="5"/>
      <c r="B57" s="2" t="s">
        <v>322</v>
      </c>
      <c r="C57" s="2" t="s">
        <v>218</v>
      </c>
      <c r="D57" s="2" t="s">
        <v>167</v>
      </c>
    </row>
    <row collapsed="false" customFormat="false" customHeight="false" hidden="false" ht="14.5" outlineLevel="0" r="58">
      <c r="A58" s="5"/>
      <c r="B58" s="2" t="s">
        <v>323</v>
      </c>
      <c r="C58" s="2" t="s">
        <v>221</v>
      </c>
      <c r="D58" s="2" t="s">
        <v>167</v>
      </c>
    </row>
    <row collapsed="false" customFormat="false" customHeight="false" hidden="false" ht="14.5" outlineLevel="0" r="59">
      <c r="A59" s="5"/>
      <c r="B59" s="2" t="s">
        <v>324</v>
      </c>
      <c r="C59" s="6" t="s">
        <v>224</v>
      </c>
      <c r="D59" s="2" t="s">
        <v>167</v>
      </c>
    </row>
    <row collapsed="false" customFormat="false" customHeight="false" hidden="false" ht="14.5" outlineLevel="0" r="60">
      <c r="B60" s="2" t="s">
        <v>325</v>
      </c>
      <c r="C60" s="2" t="s">
        <v>229</v>
      </c>
      <c r="D60" s="2" t="s">
        <v>230</v>
      </c>
    </row>
    <row collapsed="false" customFormat="false" customHeight="false" hidden="false" ht="14.5" outlineLevel="0" r="61">
      <c r="B61" s="2" t="s">
        <v>326</v>
      </c>
      <c r="C61" s="2" t="s">
        <v>234</v>
      </c>
      <c r="D61" s="2" t="s">
        <v>230</v>
      </c>
    </row>
    <row collapsed="false" customFormat="false" customHeight="false" hidden="false" ht="14.5" outlineLevel="0" r="62">
      <c r="B62" s="2" t="s">
        <v>327</v>
      </c>
      <c r="C62" s="2" t="s">
        <v>237</v>
      </c>
      <c r="D62" s="2" t="s">
        <v>230</v>
      </c>
    </row>
    <row collapsed="false" customFormat="false" customHeight="false" hidden="false" ht="14.5" outlineLevel="0" r="63">
      <c r="B63" s="2" t="s">
        <v>328</v>
      </c>
      <c r="C63" s="2" t="s">
        <v>241</v>
      </c>
      <c r="D63" s="2" t="s">
        <v>230</v>
      </c>
    </row>
    <row collapsed="false" customFormat="false" customHeight="false" hidden="false" ht="14.5" outlineLevel="0" r="64">
      <c r="A64" s="12"/>
      <c r="B64" s="2" t="s">
        <v>245</v>
      </c>
      <c r="C64" s="2" t="s">
        <v>246</v>
      </c>
      <c r="D64" s="2" t="s">
        <v>230</v>
      </c>
    </row>
    <row collapsed="false" customFormat="false" customHeight="false" hidden="false" ht="14.5" outlineLevel="0" r="65">
      <c r="B65" s="2" t="s">
        <v>249</v>
      </c>
      <c r="C65" s="2" t="s">
        <v>250</v>
      </c>
      <c r="D65" s="2" t="s">
        <v>230</v>
      </c>
    </row>
    <row collapsed="false" customFormat="false" customHeight="false" hidden="false" ht="14.5" outlineLevel="0" r="66">
      <c r="A66" s="5"/>
      <c r="B66" s="2" t="s">
        <v>276</v>
      </c>
      <c r="C66" s="6" t="s">
        <v>277</v>
      </c>
      <c r="D66" s="2" t="s">
        <v>255</v>
      </c>
    </row>
    <row collapsed="false" customFormat="true" customHeight="false" hidden="false" ht="14.5" outlineLevel="0" r="67" s="9">
      <c r="B67" s="2" t="s">
        <v>329</v>
      </c>
      <c r="C67" s="2" t="s">
        <v>282</v>
      </c>
      <c r="D67" s="2" t="s">
        <v>255</v>
      </c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</row>
    <row collapsed="false" customFormat="false" customHeight="false" hidden="false" ht="14.5" outlineLevel="0" r="68">
      <c r="A68" s="5"/>
      <c r="B68" s="2" t="s">
        <v>330</v>
      </c>
      <c r="C68" s="2" t="s">
        <v>218</v>
      </c>
      <c r="D68" s="2" t="s">
        <v>255</v>
      </c>
    </row>
    <row collapsed="false" customFormat="false" customHeight="false" hidden="false" ht="14.5" outlineLevel="0" r="69">
      <c r="B69" s="2" t="s">
        <v>331</v>
      </c>
      <c r="C69" s="2" t="s">
        <v>289</v>
      </c>
      <c r="D69" s="2" t="s">
        <v>290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2013-05-30T23:08:06Z</dcterms:created>
  <dc:creator>David Dallas</dc:creator>
  <cp:lastModifiedBy>David Dallas</cp:lastModifiedBy>
  <dcterms:modified xsi:type="dcterms:W3CDTF">2014-06-28T17:22:26Z</dcterms:modified>
  <cp:revision>0</cp:revision>
</cp:coreProperties>
</file>